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Desktop\喷涂机器人\"/>
    </mc:Choice>
  </mc:AlternateContent>
  <xr:revisionPtr revIDLastSave="0" documentId="8_{3633F038-6455-4880-9F9E-4EDE42BB238A}" xr6:coauthVersionLast="36" xr6:coauthVersionMax="36" xr10:uidLastSave="{00000000-0000-0000-0000-000000000000}"/>
  <bookViews>
    <workbookView xWindow="0" yWindow="0" windowWidth="25600" windowHeight="12080" tabRatio="810" xr2:uid="{00000000-000D-0000-FFFF-FFFF00000000}"/>
  </bookViews>
  <sheets>
    <sheet name="1.数据采集-纽赛特to北京科技大学 " sheetId="6" r:id="rId1"/>
  </sheets>
  <definedNames>
    <definedName name="_xlnm.Print_Area" localSheetId="0">'1.数据采集-纽赛特to北京科技大学 '!$A$1:$P$90</definedName>
    <definedName name="_xlnm.Print_Titles" localSheetId="0">'1.数据采集-纽赛特to北京科技大学 '!$1:$4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B178" i="6" l="1"/>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alcChain>
</file>

<file path=xl/sharedStrings.xml><?xml version="1.0" encoding="utf-8"?>
<sst xmlns="http://schemas.openxmlformats.org/spreadsheetml/2006/main" count="1321" uniqueCount="507">
  <si>
    <t>数据交互表-数据采集</t>
  </si>
  <si>
    <t>数据作用</t>
  </si>
  <si>
    <t>数据采集</t>
  </si>
  <si>
    <t>北京科技大学</t>
  </si>
  <si>
    <t>to</t>
  </si>
  <si>
    <t>纽赛特</t>
  </si>
  <si>
    <t>历史版本</t>
  </si>
  <si>
    <t>V2.3</t>
  </si>
  <si>
    <t>车间名称</t>
  </si>
  <si>
    <t>设备名称</t>
  </si>
  <si>
    <t>设备编号</t>
  </si>
  <si>
    <t>最新版本</t>
  </si>
  <si>
    <t>V2.4</t>
  </si>
  <si>
    <t>通讯类型</t>
  </si>
  <si>
    <t>Modbus</t>
  </si>
  <si>
    <t>数据类型</t>
  </si>
  <si>
    <t>保持寄存器</t>
  </si>
  <si>
    <t>字节数量</t>
  </si>
  <si>
    <t>更新日期</t>
  </si>
  <si>
    <t>序号</t>
  </si>
  <si>
    <t>字</t>
  </si>
  <si>
    <t>布尔
编号</t>
  </si>
  <si>
    <t>数据
类型</t>
  </si>
  <si>
    <t>符号名</t>
  </si>
  <si>
    <t>名称</t>
  </si>
  <si>
    <t>信号状态描述</t>
  </si>
  <si>
    <t>备注</t>
  </si>
  <si>
    <t>bool</t>
  </si>
  <si>
    <t>SDATE1</t>
  </si>
  <si>
    <t>停止器#1故障报警</t>
  </si>
  <si>
    <t>停止器发生故障，无法实现炭块暂停，触发“停止器#1故障”或“停止器#2故障”。</t>
  </si>
  <si>
    <t>False：正常；
True：故障。</t>
  </si>
  <si>
    <t>可读</t>
  </si>
  <si>
    <t>SDATE2</t>
  </si>
  <si>
    <t>停止器#2故障报警</t>
  </si>
  <si>
    <t>SDATE3</t>
  </si>
  <si>
    <t>锁定机构#1故障报警</t>
  </si>
  <si>
    <t>锁定机构#1故障</t>
  </si>
  <si>
    <t>锁定机构发生故障，无法工作，触发“锁定机构#1故障”或“锁定机构#2故障”。</t>
  </si>
  <si>
    <t>SDATE4</t>
  </si>
  <si>
    <t>锁定机构#2故障报警</t>
  </si>
  <si>
    <t>锁定机构#2故障</t>
  </si>
  <si>
    <t>SDATE5</t>
  </si>
  <si>
    <t>机器人地轨#1故障报警</t>
  </si>
  <si>
    <t>在地轨上运行受阻，触发“机器人地轨#1故障”或“机器人地轨#2故障”。</t>
  </si>
  <si>
    <t>SDATE6</t>
  </si>
  <si>
    <t>机器人地轨#2故障报警</t>
  </si>
  <si>
    <t>SDATE7</t>
  </si>
  <si>
    <t>机器人#1设备故障报警</t>
  </si>
  <si>
    <t>机器人发生故障，不工作或异常工作，触发“机器人#1故障”或“机器人#2故障”。</t>
  </si>
  <si>
    <t>SDATE8</t>
  </si>
  <si>
    <t>机器人#2设备故障报警</t>
  </si>
  <si>
    <t>SDATE9</t>
  </si>
  <si>
    <t>喷涂机#1设备故障报警</t>
  </si>
  <si>
    <t>喷涂机发生故障，无法工作或异常，触发“喷涂机#1故障”或“喷涂机#2故障”。</t>
  </si>
  <si>
    <t>SDATE10</t>
  </si>
  <si>
    <t>喷涂机#2设备故障报警</t>
  </si>
  <si>
    <t>SDATE11</t>
  </si>
  <si>
    <t>涂料桶#1进气压力传感器故障报警</t>
  </si>
  <si>
    <t>压力传感器#1故障报警</t>
  </si>
  <si>
    <t>不同点位的压力传感器发生故障，压力数据异常，可能产生误报或漏报导致工作过程异常，触发“压力传感器#x故障"（x为具体点位）。</t>
  </si>
  <si>
    <t>SDATE12</t>
  </si>
  <si>
    <t>涂料桶#2进气压力传感器故障报警</t>
  </si>
  <si>
    <t>压力传感器#2故障报警</t>
  </si>
  <si>
    <t>SDATE13</t>
  </si>
  <si>
    <t>清洗桶进气压力传感器故障报警</t>
  </si>
  <si>
    <t>压力传感器#3故障报警</t>
  </si>
  <si>
    <t>SDATE14</t>
  </si>
  <si>
    <t>进气源压力传感器故障报警</t>
  </si>
  <si>
    <t>SDATE15</t>
  </si>
  <si>
    <t>/</t>
  </si>
  <si>
    <t>SDATE16</t>
  </si>
  <si>
    <t>搅拌器#1设备故障报警</t>
  </si>
  <si>
    <t>搅拌器发生故障，不工作或工作异常，触发“搅拌器#1故障”或“搅拌器#2故障”。</t>
  </si>
  <si>
    <t>SDATE17</t>
  </si>
  <si>
    <t>搅拌器#2设备故障报警</t>
  </si>
  <si>
    <t>SDATE18</t>
  </si>
  <si>
    <t>房内环境异常报警</t>
  </si>
  <si>
    <t>喷涂房内温度、烟雾等异常报警，触发“房内环境异常”。</t>
  </si>
  <si>
    <t>SDATE19</t>
  </si>
  <si>
    <t>禁止进入提示</t>
  </si>
  <si>
    <t>正在喷涂中员工想要开门进入，触发“正在运行，禁止进入”</t>
  </si>
  <si>
    <t>False：正常；
True：提示。</t>
  </si>
  <si>
    <t>SDATE20</t>
  </si>
  <si>
    <t>1号涂料桶是否可用</t>
  </si>
  <si>
    <t>1：可用；0：不可用</t>
  </si>
  <si>
    <t>SDATE21</t>
  </si>
  <si>
    <t>2号涂料桶是否可用</t>
  </si>
  <si>
    <t>SDATE22</t>
  </si>
  <si>
    <t>备用</t>
  </si>
  <si>
    <t>SDATE23</t>
  </si>
  <si>
    <t>SDATE24</t>
  </si>
  <si>
    <t>SDATE25</t>
  </si>
  <si>
    <t>工位#1工件到位信号</t>
  </si>
  <si>
    <t>传感器检测工件是否已到达指定的第一个喷涂位置。</t>
  </si>
  <si>
    <t>False：未到位；
True：到位。</t>
  </si>
  <si>
    <t>SDATE26</t>
  </si>
  <si>
    <t>工位#2工件到位信号</t>
  </si>
  <si>
    <t>传感器检测工件是否已到达指定的第二个喷涂位置。</t>
  </si>
  <si>
    <t>SDATE27</t>
  </si>
  <si>
    <t>停止器#1状态</t>
  </si>
  <si>
    <t>表示停止器是否作用从而使工件停止：启用、复位。</t>
  </si>
  <si>
    <t>False：复位；
True：启用。</t>
  </si>
  <si>
    <t>SDATE28</t>
  </si>
  <si>
    <t>停止器#2状态</t>
  </si>
  <si>
    <t>SDATE29</t>
  </si>
  <si>
    <t>喷枪#1开关状态</t>
  </si>
  <si>
    <t>喷枪#1的开关状态。</t>
  </si>
  <si>
    <t>False：关；
True：开。</t>
  </si>
  <si>
    <t>SDATE30</t>
  </si>
  <si>
    <t>喷枪#2开关状态</t>
  </si>
  <si>
    <t>喷枪#2的开关状态。</t>
  </si>
  <si>
    <t>SDATE31</t>
  </si>
  <si>
    <t>搅拌器#1运行状态</t>
  </si>
  <si>
    <t>表示搅拌器#1是否在运行</t>
  </si>
  <si>
    <t>False：停止；
True：运行。</t>
  </si>
  <si>
    <t>SDATE32</t>
  </si>
  <si>
    <t>搅拌器#2运行状态</t>
  </si>
  <si>
    <t>表示搅拌器#2是否在运行</t>
  </si>
  <si>
    <t>2-2</t>
  </si>
  <si>
    <t>int</t>
  </si>
  <si>
    <t>SDATE33</t>
  </si>
  <si>
    <t>心跳</t>
  </si>
  <si>
    <t>每100ms自加1</t>
  </si>
  <si>
    <t>SDATE34</t>
  </si>
  <si>
    <t>现场运行模式</t>
  </si>
  <si>
    <t>全自动模式或手动模式</t>
  </si>
  <si>
    <t>1：手动模式；
2：自动模式。</t>
  </si>
  <si>
    <t>SDATE35</t>
  </si>
  <si>
    <t>喷涂管路#1压力状态</t>
  </si>
  <si>
    <t>管路堵塞或泄露导致喷涂管路压力低于某一阈值但在可工作的范围内触发。</t>
  </si>
  <si>
    <t>1:正常；
2:异常；
3:报警。</t>
  </si>
  <si>
    <t>SDATE36</t>
  </si>
  <si>
    <t>喷涂管路#2压力状态</t>
  </si>
  <si>
    <t>SDATE37</t>
  </si>
  <si>
    <t>清洗泵压力状态</t>
  </si>
  <si>
    <t>SDATE38</t>
  </si>
  <si>
    <t>进气源压力状态</t>
  </si>
  <si>
    <t>SDATE39</t>
  </si>
  <si>
    <t>SDATE40</t>
  </si>
  <si>
    <t>进料门异常</t>
  </si>
  <si>
    <t>进料门或出料门移动时间低于某一阈值，触发“进料门开异常”或“进料门关异常”或“出料门开异常”或“出料门关异常”。</t>
  </si>
  <si>
    <t>SDATE41</t>
  </si>
  <si>
    <t>出料门异常</t>
  </si>
  <si>
    <t>SDATE42</t>
  </si>
  <si>
    <t>现场运行状态</t>
  </si>
  <si>
    <t>表示喷涂工序当前的运行状态</t>
  </si>
  <si>
    <t>1：启动中
2：自检中
3：启动就绪
4：运行
5：暂停
6：关机中
7：关机
8：异常
9：故障</t>
  </si>
  <si>
    <t>SDATE43</t>
  </si>
  <si>
    <t>进料门状态</t>
  </si>
  <si>
    <t>表示喷涂房进料自动门的状态</t>
  </si>
  <si>
    <t>1：打开
2：关闭
3：开启中
4：关闭中</t>
  </si>
  <si>
    <t>SDATE44</t>
  </si>
  <si>
    <t>出料门状态</t>
  </si>
  <si>
    <t>表示喷涂房出料自动门的状态</t>
  </si>
  <si>
    <t>SDATE45</t>
  </si>
  <si>
    <t>锁定机构#1状态</t>
  </si>
  <si>
    <t>表示用于稳固工件、防止晃动的锁定机构状态</t>
  </si>
  <si>
    <t>1：已锁定
2：正在锁定
3：归位中
4：已归位</t>
  </si>
  <si>
    <t>SDATE46</t>
  </si>
  <si>
    <t>锁定机构#2状态</t>
  </si>
  <si>
    <t>SDATE47</t>
  </si>
  <si>
    <t>机器人#1工作状态</t>
  </si>
  <si>
    <t>机器人当前的工作状态</t>
  </si>
  <si>
    <t>1：关闭
2：启动
3：暂停
4：喷涂作业中
5：清洗</t>
  </si>
  <si>
    <t>SDATE48</t>
  </si>
  <si>
    <t>机器人#2工作状态</t>
  </si>
  <si>
    <t>SDATE49</t>
  </si>
  <si>
    <t>机器人#1喷涂进度</t>
  </si>
  <si>
    <t>表示机器人炭块喷涂完成情况</t>
  </si>
  <si>
    <t>1：工序1
2：工序2
……</t>
  </si>
  <si>
    <t>SDATE50</t>
  </si>
  <si>
    <t>机器人#2喷涂进度</t>
  </si>
  <si>
    <t>SDATE51</t>
  </si>
  <si>
    <t>机器人#1喷涂工序数量</t>
  </si>
  <si>
    <t>SDATE52</t>
  </si>
  <si>
    <t>机器人#2喷涂工序数量</t>
  </si>
  <si>
    <t>SDATE53</t>
  </si>
  <si>
    <t>当前供料桶</t>
  </si>
  <si>
    <t>指示当前正在为喷涂系统供料的是桶#1还是桶#2</t>
  </si>
  <si>
    <t>1：桶#1
2：桶#2</t>
  </si>
  <si>
    <t>SDATE54</t>
  </si>
  <si>
    <t>工位#1单件喷涂时间</t>
  </si>
  <si>
    <t>表示当前工位喷涂单个工件的实际时间。</t>
  </si>
  <si>
    <t>单位：秒</t>
  </si>
  <si>
    <t>SDATE55</t>
  </si>
  <si>
    <t>工位#2单件喷涂时间</t>
  </si>
  <si>
    <t>real</t>
  </si>
  <si>
    <t>SDATE56</t>
  </si>
  <si>
    <t>涂料桶1液位传感器</t>
  </si>
  <si>
    <t>百分比</t>
  </si>
  <si>
    <t>SDATE57</t>
  </si>
  <si>
    <t>涂料桶2液位传感器</t>
  </si>
  <si>
    <t>SDATE58</t>
  </si>
  <si>
    <t>喷涂管路#1输出实时压力</t>
  </si>
  <si>
    <t>反馈机器人#1喷涂管路内的实时液体压力值。</t>
  </si>
  <si>
    <t>压力单位，MPa</t>
  </si>
  <si>
    <t>对应1号机器人</t>
  </si>
  <si>
    <t>SDATE59</t>
  </si>
  <si>
    <t>喷涂管路#2输出实时压力</t>
  </si>
  <si>
    <t>反馈机器人#2喷涂管路内的实时液体压力值。</t>
  </si>
  <si>
    <t>对应2号机器人</t>
  </si>
  <si>
    <t>SDATE60</t>
  </si>
  <si>
    <t>清洗泵实时压力</t>
  </si>
  <si>
    <t>喷涂机#1输出涂料压力</t>
  </si>
  <si>
    <t>SDATE61</t>
  </si>
  <si>
    <t>进气源实时压力</t>
  </si>
  <si>
    <t>喷涂机#2输出涂料压力</t>
  </si>
  <si>
    <t>SDATE62</t>
  </si>
  <si>
    <t>SDATE63</t>
  </si>
  <si>
    <t>SDATE64</t>
  </si>
  <si>
    <t>SDATE65</t>
  </si>
  <si>
    <t>SDATE66</t>
  </si>
  <si>
    <t>SDATE67</t>
  </si>
  <si>
    <t>SDATE68</t>
  </si>
  <si>
    <t>当日每时产量[1]</t>
  </si>
  <si>
    <t>0:00～1:00</t>
  </si>
  <si>
    <t>SDATE69</t>
  </si>
  <si>
    <t>当日每时产量[2]</t>
  </si>
  <si>
    <t>1:00～2:00</t>
  </si>
  <si>
    <t>SDATE70</t>
  </si>
  <si>
    <t>当日每时产量[3]</t>
  </si>
  <si>
    <t>2:00～3:00</t>
  </si>
  <si>
    <t>SDATE71</t>
  </si>
  <si>
    <t>当日每时产量[4]</t>
  </si>
  <si>
    <t>3:00～4:00</t>
  </si>
  <si>
    <t>SDATE72</t>
  </si>
  <si>
    <t>当日每时产量[5]</t>
  </si>
  <si>
    <t>4:00～5:00</t>
  </si>
  <si>
    <t>SDATE73</t>
  </si>
  <si>
    <t>当日每时产量[6]</t>
  </si>
  <si>
    <t>5:00～6:00</t>
  </si>
  <si>
    <t>SDATE74</t>
  </si>
  <si>
    <t>当日每时产量[7]</t>
  </si>
  <si>
    <t>6:00～7:00</t>
  </si>
  <si>
    <t>SDATE75</t>
  </si>
  <si>
    <t>当日每时产量[8]</t>
  </si>
  <si>
    <t>7:00～8:00</t>
  </si>
  <si>
    <t>SDATE76</t>
  </si>
  <si>
    <t>当日每时产量[9]</t>
  </si>
  <si>
    <t>8:00～9:00</t>
  </si>
  <si>
    <t>SDATE77</t>
  </si>
  <si>
    <t>当日每时产量[10]</t>
  </si>
  <si>
    <t>9:00～10:00</t>
  </si>
  <si>
    <t>SDATE78</t>
  </si>
  <si>
    <t>当日每时产量[11]</t>
  </si>
  <si>
    <t>10:00～11:00</t>
  </si>
  <si>
    <t>SDATE79</t>
  </si>
  <si>
    <t>当日每时产量[12]</t>
  </si>
  <si>
    <t>11:00～12:00</t>
  </si>
  <si>
    <t>SDATE80</t>
  </si>
  <si>
    <t>当日每时产量[13]</t>
  </si>
  <si>
    <t>12:00～13:00</t>
  </si>
  <si>
    <t>SDATE81</t>
  </si>
  <si>
    <t>当日每时产量[14]</t>
  </si>
  <si>
    <t>13:00～14:00</t>
  </si>
  <si>
    <t>SDATE82</t>
  </si>
  <si>
    <t>当日每时产量[15]</t>
  </si>
  <si>
    <t>14:00～15:00</t>
  </si>
  <si>
    <t>SDATE83</t>
  </si>
  <si>
    <t>当日每时产量[16]</t>
  </si>
  <si>
    <t>15:00～16:00</t>
  </si>
  <si>
    <t>SDATE84</t>
  </si>
  <si>
    <t>当日每时产量[17]</t>
  </si>
  <si>
    <t>16:00～17:00</t>
  </si>
  <si>
    <t>SDATE85</t>
  </si>
  <si>
    <t>当日每时产量[18]</t>
  </si>
  <si>
    <t>17:00～18:00</t>
  </si>
  <si>
    <t>SDATE86</t>
  </si>
  <si>
    <t>当日每时产量[19]</t>
  </si>
  <si>
    <t>18:00～19:00</t>
  </si>
  <si>
    <t>SDATE87</t>
  </si>
  <si>
    <t>当日每时产量[20]</t>
  </si>
  <si>
    <t>19:00～20:00</t>
  </si>
  <si>
    <t>SDATE88</t>
  </si>
  <si>
    <t>当日每时产量[21]</t>
  </si>
  <si>
    <t>20:00～21:00</t>
  </si>
  <si>
    <t>SDATE89</t>
  </si>
  <si>
    <t>当日每时产量[22]</t>
  </si>
  <si>
    <t>21:00～24:00</t>
  </si>
  <si>
    <t>SDATE90</t>
  </si>
  <si>
    <t>当日每时产量[23]</t>
  </si>
  <si>
    <t>22:00～23:00</t>
  </si>
  <si>
    <t>SDATE91</t>
  </si>
  <si>
    <t>当日每时产量[24]</t>
  </si>
  <si>
    <t>23:00～0:00</t>
  </si>
  <si>
    <t>SDATE92</t>
  </si>
  <si>
    <t>当月（4周）每天产量[1,1]</t>
  </si>
  <si>
    <t>本周周一</t>
  </si>
  <si>
    <t>SDATE93</t>
  </si>
  <si>
    <t>当月（4周）每天产量[1,2]</t>
  </si>
  <si>
    <t>本周周二</t>
  </si>
  <si>
    <t>SDATE94</t>
  </si>
  <si>
    <t>当月（4周）每天产量[1,3]</t>
  </si>
  <si>
    <t>本周周三</t>
  </si>
  <si>
    <t>SDATE95</t>
  </si>
  <si>
    <t>当月（4周）每天产量[1,4]</t>
  </si>
  <si>
    <t>本周周四</t>
  </si>
  <si>
    <t>SDATE96</t>
  </si>
  <si>
    <t>当月（4周）每天产量[1,5]</t>
  </si>
  <si>
    <t>本周周五</t>
  </si>
  <si>
    <t>SDATE97</t>
  </si>
  <si>
    <t>当月（4周）每天产量[1,6]</t>
  </si>
  <si>
    <t>本周周六</t>
  </si>
  <si>
    <t>SDATE98</t>
  </si>
  <si>
    <t>当月（4周）每天产量[1,7]</t>
  </si>
  <si>
    <t>本周周天</t>
  </si>
  <si>
    <t>SDATE99</t>
  </si>
  <si>
    <t>当月（4周）每天产量[2,1]</t>
  </si>
  <si>
    <t>上周周一</t>
  </si>
  <si>
    <t>SDATE100</t>
  </si>
  <si>
    <t>当月（4周）每天产量[2,2]</t>
  </si>
  <si>
    <t>上周周二</t>
  </si>
  <si>
    <t>SDATE101</t>
  </si>
  <si>
    <t>当月（4周）每天产量[2,3]</t>
  </si>
  <si>
    <t>上周周三</t>
  </si>
  <si>
    <t>SDATE102</t>
  </si>
  <si>
    <t>当月（4周）每天产量[2,4]</t>
  </si>
  <si>
    <t>上周周四</t>
  </si>
  <si>
    <t>SDATE103</t>
  </si>
  <si>
    <t>当月（4周）每天产量[2,5]</t>
  </si>
  <si>
    <t>上周周五</t>
  </si>
  <si>
    <t>SDATE104</t>
  </si>
  <si>
    <t>当月（4周）每天产量[2,6]</t>
  </si>
  <si>
    <t>上周周六</t>
  </si>
  <si>
    <t>SDATE105</t>
  </si>
  <si>
    <t>当月（4周）每天产量[2,7]</t>
  </si>
  <si>
    <t>上周周天</t>
  </si>
  <si>
    <t>SDATE106</t>
  </si>
  <si>
    <t>当月（4周）每天产量[3,1]</t>
  </si>
  <si>
    <t>上上周周一</t>
  </si>
  <si>
    <t>SDATE107</t>
  </si>
  <si>
    <t>当月（4周）每天产量[3,2]</t>
  </si>
  <si>
    <t>上上周周二</t>
  </si>
  <si>
    <t>SDATE108</t>
  </si>
  <si>
    <t>当月（4周）每天产量[3,3]</t>
  </si>
  <si>
    <t>上上周周三</t>
  </si>
  <si>
    <t>SDATE109</t>
  </si>
  <si>
    <t>当月（4周）每天产量[3,4]</t>
  </si>
  <si>
    <t>上上周周四</t>
  </si>
  <si>
    <t>SDATE110</t>
  </si>
  <si>
    <t>当月（4周）每天产量[3,5]</t>
  </si>
  <si>
    <t>上上周周五</t>
  </si>
  <si>
    <t>SDATE111</t>
  </si>
  <si>
    <t>当月（4周）每天产量[3,6]</t>
  </si>
  <si>
    <t>上上周周六</t>
  </si>
  <si>
    <t>SDATE112</t>
  </si>
  <si>
    <t>当月（4周）每天产量[3,7]</t>
  </si>
  <si>
    <t>上上周周天</t>
  </si>
  <si>
    <t>SDATE113</t>
  </si>
  <si>
    <t>当月（4周）每天产量[4,1]</t>
  </si>
  <si>
    <t>上上上周周一</t>
  </si>
  <si>
    <t>SDATE114</t>
  </si>
  <si>
    <t>当月（4周）每天产量[4,2]</t>
  </si>
  <si>
    <t>上上上周周二</t>
  </si>
  <si>
    <t>SDATE115</t>
  </si>
  <si>
    <t>当月（4周）每天产量[4,3]</t>
  </si>
  <si>
    <t>上上上周周三</t>
  </si>
  <si>
    <t>SDATE116</t>
  </si>
  <si>
    <t>当月（4周）每天产量[4,4]</t>
  </si>
  <si>
    <t>上上上周周四</t>
  </si>
  <si>
    <t>SDATE117</t>
  </si>
  <si>
    <t>当月（4周）每天产量[4,5]</t>
  </si>
  <si>
    <t>上上上周周五</t>
  </si>
  <si>
    <t>SDATE118</t>
  </si>
  <si>
    <t>当月（4周）每天产量[4,6]</t>
  </si>
  <si>
    <t>上上上周周六</t>
  </si>
  <si>
    <t>SDATE119</t>
  </si>
  <si>
    <t>当月（4周）每天产量[4,7]</t>
  </si>
  <si>
    <t>上上上周周天</t>
  </si>
  <si>
    <t>SDATE120</t>
  </si>
  <si>
    <t>人工一键清洗</t>
  </si>
  <si>
    <t>涂料泵及管路清洗</t>
  </si>
  <si>
    <t>可读写</t>
  </si>
  <si>
    <t>执行完自动关闭</t>
  </si>
  <si>
    <t>SDATE121</t>
  </si>
  <si>
    <t>枪头清洗控制</t>
  </si>
  <si>
    <t>决定是否清洗枪头</t>
  </si>
  <si>
    <t>若为人工一键清洗模式，该控制可用</t>
  </si>
  <si>
    <t>清洗开启时不可修改</t>
  </si>
  <si>
    <t>SDATE122</t>
  </si>
  <si>
    <t>供料桶切换</t>
  </si>
  <si>
    <t>设置当前为料筒#1还是料筒#2</t>
  </si>
  <si>
    <t>False：1；
True：2。</t>
  </si>
  <si>
    <t>布尔值（1/2）</t>
  </si>
  <si>
    <t>不能切换情况下会自动改回</t>
  </si>
  <si>
    <t>SDATE123</t>
  </si>
  <si>
    <t>SDATE124</t>
  </si>
  <si>
    <t>SDATE125</t>
  </si>
  <si>
    <t>SDATE126</t>
  </si>
  <si>
    <t>SDATE127</t>
  </si>
  <si>
    <t>SDATE128</t>
  </si>
  <si>
    <t>SDATE129</t>
  </si>
  <si>
    <t>SDATE130</t>
  </si>
  <si>
    <t>SDATE131</t>
  </si>
  <si>
    <t>SDATE132</t>
  </si>
  <si>
    <t>SDATE133</t>
  </si>
  <si>
    <t>SDATE134</t>
  </si>
  <si>
    <t>SDATE135</t>
  </si>
  <si>
    <t>102-102</t>
  </si>
  <si>
    <t>SDATE136</t>
  </si>
  <si>
    <t>现场运行控制</t>
  </si>
  <si>
    <t>启动：从关闭状态开启或从暂停状态恢复
暂停：需要暂存各设备当前状态以便恢复
急停：出现故障、事故等紧急情况</t>
  </si>
  <si>
    <t>1：启动；
2：暂停；
3：急停。</t>
  </si>
  <si>
    <t>自动模式下可改</t>
  </si>
  <si>
    <t>SDATE137</t>
  </si>
  <si>
    <t>机器人喷涂速度</t>
  </si>
  <si>
    <t>调整机器人喷头的运动速度以适应不同的喷涂工艺需求，通过速度挡位控制</t>
  </si>
  <si>
    <t>单位：%</t>
  </si>
  <si>
    <t>随时可改</t>
  </si>
  <si>
    <t>SDATE138</t>
  </si>
  <si>
    <t>定时清洗间隔</t>
  </si>
  <si>
    <t>长期无物料执行清洗模式的时间。</t>
  </si>
  <si>
    <t>手动模式下可改</t>
  </si>
  <si>
    <t>SDATE139</t>
  </si>
  <si>
    <t>喷涂管路#1压力报警阈值（调试）</t>
  </si>
  <si>
    <t>设置喷涂管路#1压力报警阈值。</t>
  </si>
  <si>
    <t>压力单位</t>
  </si>
  <si>
    <t>SDATE140</t>
  </si>
  <si>
    <t>喷涂管路#2压力报警阈值（调试）</t>
  </si>
  <si>
    <t>设置喷涂管路#2压力报警阈值。</t>
  </si>
  <si>
    <t>SDATE141</t>
  </si>
  <si>
    <t>清洗泵压力报警阈值（调试）</t>
  </si>
  <si>
    <t>设置清洗泵压力报警阈值。</t>
  </si>
  <si>
    <t>SDATE142</t>
  </si>
  <si>
    <t>搅拌器#1转速设定（调试）</t>
  </si>
  <si>
    <t>设置料桶搅拌器#1的目标转速值。</t>
  </si>
  <si>
    <t>单位：rpm</t>
  </si>
  <si>
    <t>SDATE143</t>
  </si>
  <si>
    <t>搅拌器#2转速设定（调试）</t>
  </si>
  <si>
    <t>设置料桶搅拌器#2的目标转速值。</t>
  </si>
  <si>
    <t>SDATE144</t>
  </si>
  <si>
    <t>液位传感器1报警阈值</t>
  </si>
  <si>
    <t>设置液位低报警阈值</t>
  </si>
  <si>
    <t>SDATE145</t>
  </si>
  <si>
    <t>液位传感器2报警阈值</t>
  </si>
  <si>
    <t>SDATE146</t>
  </si>
  <si>
    <t>SDATE147</t>
  </si>
  <si>
    <t>SDATE148</t>
  </si>
  <si>
    <t>SDATE149</t>
  </si>
  <si>
    <t>机器人1
X坐标速度</t>
  </si>
  <si>
    <t>单位：mm/s</t>
  </si>
  <si>
    <t>SDATE150</t>
  </si>
  <si>
    <t>机器人1
Y坐标速度</t>
  </si>
  <si>
    <t>SDATE151</t>
  </si>
  <si>
    <t>机器人1
Z坐标速度</t>
  </si>
  <si>
    <t>SDATE152</t>
  </si>
  <si>
    <t>机器人1
A姿态速度</t>
  </si>
  <si>
    <t>单位：°/s</t>
  </si>
  <si>
    <t>SDATE153</t>
  </si>
  <si>
    <t>机器人1
B姿态速度</t>
  </si>
  <si>
    <t>SDATE154</t>
  </si>
  <si>
    <t>机器人1
C姿态速度</t>
  </si>
  <si>
    <t>SDATE155</t>
  </si>
  <si>
    <t>机器人1
X坐标位置</t>
  </si>
  <si>
    <t>单位：mm</t>
  </si>
  <si>
    <t>SDATE156</t>
  </si>
  <si>
    <t>机器人1
Y坐标位置</t>
  </si>
  <si>
    <t>SDATE157</t>
  </si>
  <si>
    <t>机器人1
Z坐标位置</t>
  </si>
  <si>
    <t>SDATE158</t>
  </si>
  <si>
    <t>机器人1
A姿态位置</t>
  </si>
  <si>
    <t>单位：°</t>
  </si>
  <si>
    <t>SDATE159</t>
  </si>
  <si>
    <t>机器人1
B姿态位置</t>
  </si>
  <si>
    <t>SDATE160</t>
  </si>
  <si>
    <t>机器人1
C姿态位置</t>
  </si>
  <si>
    <t>SDATE161</t>
  </si>
  <si>
    <t>机器人2
X坐标速度</t>
  </si>
  <si>
    <t>SDATE162</t>
  </si>
  <si>
    <t>机器人2
Y坐标速度</t>
  </si>
  <si>
    <t>SDATE163</t>
  </si>
  <si>
    <t>机器人2
Z坐标速度</t>
  </si>
  <si>
    <t>SDATE164</t>
  </si>
  <si>
    <t>机器人2
A姿态速度</t>
  </si>
  <si>
    <t>SDATE165</t>
  </si>
  <si>
    <t>机器人2
B姿态速度</t>
  </si>
  <si>
    <t>SDATE166</t>
  </si>
  <si>
    <t>机器人2
C姿态速度</t>
  </si>
  <si>
    <t>SDATE167</t>
  </si>
  <si>
    <t>机器人2
X坐标位置</t>
  </si>
  <si>
    <t>SDATE168</t>
  </si>
  <si>
    <t>机器人2
Y坐标位置</t>
  </si>
  <si>
    <t>SDATE169</t>
  </si>
  <si>
    <t>机器人2
Z坐标位置</t>
  </si>
  <si>
    <t>SDATE170</t>
  </si>
  <si>
    <t>机器人2
A姿态位置</t>
  </si>
  <si>
    <t>SDATE171</t>
  </si>
  <si>
    <t>机器人2
B姿态位置</t>
  </si>
  <si>
    <t>SDATE172</t>
  </si>
  <si>
    <t>机器人2
C姿态位置</t>
  </si>
  <si>
    <t>SDATE173</t>
  </si>
  <si>
    <t>SDATE174</t>
  </si>
  <si>
    <t>SDATE175</t>
  </si>
  <si>
    <t>SDATE176</t>
  </si>
  <si>
    <t>SDATE177</t>
  </si>
  <si>
    <t>SDATE178</t>
  </si>
  <si>
    <t>SDATE179</t>
  </si>
  <si>
    <t>SDATE180</t>
  </si>
  <si>
    <t>SDATE181</t>
  </si>
  <si>
    <t>SDATE182</t>
  </si>
  <si>
    <t>SDATE183</t>
  </si>
  <si>
    <t>SDATE184</t>
  </si>
  <si>
    <t>SDATE185</t>
  </si>
  <si>
    <t>SDATE186</t>
  </si>
  <si>
    <t>SDATE187</t>
  </si>
  <si>
    <t>SDATE188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</si>
</sst>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0"/>
      <color theme="1"/>
      <name val="宋体"/>
      <charset val="134"/>
      <scheme val="minor"/>
    </font>
    <font>
      <b/>
      <sz val="16"/>
      <color theme="1"/>
      <name val="宋体"/>
      <charset val="134"/>
      <scheme val="minor"/>
    </font>
    <font>
      <b/>
      <sz val="10"/>
      <color theme="1"/>
      <name val="宋体"/>
      <charset val="134"/>
      <scheme val="minor"/>
    </font>
    <font>
      <sz val="10"/>
      <color theme="1"/>
      <name val="华文仿宋"/>
      <charset val="134"/>
    </font>
    <font>
      <sz val="10"/>
      <color theme="1"/>
      <name val="仿宋"/>
      <charset val="134"/>
    </font>
    <font>
      <sz val="8"/>
      <color theme="1"/>
      <name val="仿宋"/>
      <charset val="134"/>
    </font>
    <font>
      <sz val="10"/>
      <color rgb="FFFF0000"/>
      <name val="宋体"/>
      <charset val="134"/>
      <scheme val="minor"/>
    </font>
    <font>
      <b/>
      <sz val="10"/>
      <color rgb="FFFF0000"/>
      <name val="宋体"/>
      <charset val="134"/>
      <scheme val="minor"/>
    </font>
    <font>
      <sz val="9"/>
      <name val="宋体"/>
      <charset val="134"/>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81">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12" xfId="0" applyFont="1" applyBorder="1" applyAlignment="1">
      <alignment vertical="center" wrapText="1"/>
    </xf>
    <xf numFmtId="0" fontId="1" fillId="0" borderId="13"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0" fillId="0" borderId="1" xfId="0" applyBorder="1" applyAlignment="1">
      <alignment horizontal="center" vertical="center"/>
    </xf>
    <xf numFmtId="0" fontId="7" fillId="0" borderId="1" xfId="0" applyFont="1" applyBorder="1" applyAlignment="1">
      <alignment horizontal="center" vertical="center" wrapText="1"/>
    </xf>
    <xf numFmtId="0" fontId="7" fillId="0" borderId="0" xfId="0" applyFont="1" applyAlignment="1">
      <alignment vertical="center" wrapText="1"/>
    </xf>
    <xf numFmtId="0" fontId="1" fillId="0" borderId="1" xfId="0" applyFont="1" applyBorder="1" applyAlignment="1">
      <alignment vertical="center" wrapText="1"/>
    </xf>
    <xf numFmtId="0" fontId="8" fillId="0" borderId="1" xfId="0" applyFont="1" applyBorder="1" applyAlignment="1">
      <alignment vertical="center" wrapText="1"/>
    </xf>
    <xf numFmtId="0" fontId="0"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31"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3" borderId="12"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3" xfId="0" applyFont="1" applyBorder="1" applyAlignment="1">
      <alignment horizontal="center" vertical="center" wrapText="1"/>
    </xf>
    <xf numFmtId="0" fontId="8" fillId="0" borderId="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0" fontId="1" fillId="0" borderId="5" xfId="0" applyFont="1" applyFill="1" applyBorder="1" applyAlignment="1">
      <alignment vertical="center" wrapText="1"/>
    </xf>
    <xf numFmtId="0" fontId="1" fillId="0" borderId="7" xfId="0" applyFont="1" applyFill="1" applyBorder="1" applyAlignment="1">
      <alignment vertical="center" wrapText="1"/>
    </xf>
    <xf numFmtId="0" fontId="1" fillId="0" borderId="8" xfId="0" applyFont="1" applyFill="1" applyBorder="1" applyAlignment="1">
      <alignment vertical="center" wrapText="1"/>
    </xf>
    <xf numFmtId="0" fontId="1" fillId="0" borderId="9" xfId="0" applyFont="1" applyFill="1" applyBorder="1" applyAlignment="1">
      <alignment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0" borderId="0" xfId="0" applyFont="1" applyFill="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3"/>
  <sheetViews>
    <sheetView tabSelected="1" topLeftCell="A202" zoomScale="130" zoomScaleNormal="130" workbookViewId="0">
      <selection activeCell="N206" sqref="N206"/>
    </sheetView>
  </sheetViews>
  <sheetFormatPr defaultColWidth="9" defaultRowHeight="13" x14ac:dyDescent="0.25"/>
  <cols>
    <col min="1" max="1" width="5.6328125" style="1" customWidth="1"/>
    <col min="2" max="2" width="12.453125" style="1" customWidth="1"/>
    <col min="3" max="4" width="5.6328125" style="2" customWidth="1"/>
    <col min="5" max="5" width="9.6328125" style="2" customWidth="1"/>
    <col min="6" max="7" width="5.6328125" style="2" customWidth="1"/>
    <col min="8" max="8" width="12" style="2" customWidth="1"/>
    <col min="9" max="11" width="5.6328125" style="2" customWidth="1"/>
    <col min="12" max="12" width="12.81640625" style="2" customWidth="1"/>
    <col min="13" max="16" width="5.6328125" style="2" customWidth="1"/>
    <col min="17" max="17" width="6.6328125" style="2" customWidth="1"/>
    <col min="18" max="18" width="15.26953125" style="2" customWidth="1"/>
    <col min="19" max="22" width="9" style="2"/>
    <col min="23" max="23" width="10.6328125" style="2" customWidth="1"/>
    <col min="24" max="16384" width="9" style="2"/>
  </cols>
  <sheetData>
    <row r="1" spans="1:18" ht="53.25" customHeight="1" x14ac:dyDescent="0.25">
      <c r="A1" s="15" t="s">
        <v>0</v>
      </c>
      <c r="B1" s="15"/>
      <c r="C1" s="15"/>
      <c r="D1" s="15"/>
      <c r="E1" s="15"/>
      <c r="F1" s="15"/>
      <c r="G1" s="15"/>
      <c r="H1" s="15"/>
      <c r="I1" s="15"/>
      <c r="J1" s="15"/>
      <c r="K1" s="15"/>
      <c r="L1" s="15"/>
      <c r="M1" s="15"/>
      <c r="N1" s="15"/>
      <c r="O1" s="15"/>
      <c r="P1" s="15"/>
    </row>
    <row r="2" spans="1:18" ht="33.75" customHeight="1" x14ac:dyDescent="0.25">
      <c r="A2" s="16" t="s">
        <v>1</v>
      </c>
      <c r="B2" s="16"/>
      <c r="C2" s="17" t="s">
        <v>2</v>
      </c>
      <c r="D2" s="17"/>
      <c r="E2" s="17" t="s">
        <v>3</v>
      </c>
      <c r="F2" s="17"/>
      <c r="G2" s="17"/>
      <c r="H2" s="16" t="s">
        <v>4</v>
      </c>
      <c r="I2" s="16"/>
      <c r="J2" s="17" t="s">
        <v>5</v>
      </c>
      <c r="K2" s="17"/>
      <c r="L2" s="17"/>
      <c r="M2" s="16" t="s">
        <v>6</v>
      </c>
      <c r="N2" s="16"/>
      <c r="O2" s="17" t="s">
        <v>7</v>
      </c>
      <c r="P2" s="17"/>
    </row>
    <row r="3" spans="1:18" ht="28.5" customHeight="1" x14ac:dyDescent="0.25">
      <c r="A3" s="16" t="s">
        <v>8</v>
      </c>
      <c r="B3" s="16"/>
      <c r="C3" s="18"/>
      <c r="D3" s="18"/>
      <c r="E3" s="16" t="s">
        <v>9</v>
      </c>
      <c r="F3" s="16"/>
      <c r="G3" s="18"/>
      <c r="H3" s="18"/>
      <c r="I3" s="16" t="s">
        <v>10</v>
      </c>
      <c r="J3" s="16"/>
      <c r="K3" s="19"/>
      <c r="L3" s="19"/>
      <c r="M3" s="16" t="s">
        <v>11</v>
      </c>
      <c r="N3" s="16"/>
      <c r="O3" s="17" t="s">
        <v>12</v>
      </c>
      <c r="P3" s="17"/>
    </row>
    <row r="4" spans="1:18" ht="28.5" customHeight="1" x14ac:dyDescent="0.25">
      <c r="A4" s="16" t="s">
        <v>13</v>
      </c>
      <c r="B4" s="16"/>
      <c r="C4" s="18" t="s">
        <v>14</v>
      </c>
      <c r="D4" s="18"/>
      <c r="E4" s="16" t="s">
        <v>15</v>
      </c>
      <c r="F4" s="16"/>
      <c r="G4" s="19" t="s">
        <v>16</v>
      </c>
      <c r="H4" s="19"/>
      <c r="I4" s="16" t="s">
        <v>17</v>
      </c>
      <c r="J4" s="16"/>
      <c r="K4" s="19"/>
      <c r="L4" s="19"/>
      <c r="M4" s="16" t="s">
        <v>18</v>
      </c>
      <c r="N4" s="16"/>
      <c r="O4" s="20">
        <v>46053</v>
      </c>
      <c r="P4" s="21"/>
    </row>
    <row r="5" spans="1:18" ht="27.75" customHeight="1" x14ac:dyDescent="0.25">
      <c r="A5" s="3" t="s">
        <v>19</v>
      </c>
      <c r="B5" s="3" t="s">
        <v>20</v>
      </c>
      <c r="C5" s="3" t="s">
        <v>21</v>
      </c>
      <c r="D5" s="3" t="s">
        <v>22</v>
      </c>
      <c r="E5" s="3" t="s">
        <v>23</v>
      </c>
      <c r="F5" s="19" t="s">
        <v>24</v>
      </c>
      <c r="G5" s="19"/>
      <c r="H5" s="19"/>
      <c r="I5" s="19" t="s">
        <v>25</v>
      </c>
      <c r="J5" s="19"/>
      <c r="K5" s="19"/>
      <c r="L5" s="19"/>
      <c r="M5" s="19" t="s">
        <v>26</v>
      </c>
      <c r="N5" s="19"/>
      <c r="O5" s="19"/>
      <c r="P5" s="19"/>
    </row>
    <row r="6" spans="1:18" ht="27.75" customHeight="1" x14ac:dyDescent="0.25">
      <c r="A6" s="3">
        <v>1</v>
      </c>
      <c r="B6" s="48">
        <v>0</v>
      </c>
      <c r="C6" s="4">
        <v>0</v>
      </c>
      <c r="D6" s="4" t="s">
        <v>27</v>
      </c>
      <c r="E6" s="4" t="s">
        <v>28</v>
      </c>
      <c r="F6" s="22" t="s">
        <v>29</v>
      </c>
      <c r="G6" s="22" t="s">
        <v>29</v>
      </c>
      <c r="H6" s="22" t="s">
        <v>29</v>
      </c>
      <c r="I6" s="53" t="s">
        <v>30</v>
      </c>
      <c r="J6" s="54"/>
      <c r="K6" s="54"/>
      <c r="L6" s="55"/>
      <c r="M6" s="59" t="s">
        <v>31</v>
      </c>
      <c r="N6" s="60"/>
      <c r="O6" s="60"/>
      <c r="P6" s="61"/>
      <c r="Q6" s="2" t="s">
        <v>32</v>
      </c>
    </row>
    <row r="7" spans="1:18" ht="27.75" customHeight="1" x14ac:dyDescent="0.25">
      <c r="A7" s="3">
        <v>2</v>
      </c>
      <c r="B7" s="49"/>
      <c r="C7" s="4">
        <v>1</v>
      </c>
      <c r="D7" s="4" t="s">
        <v>27</v>
      </c>
      <c r="E7" s="4" t="s">
        <v>33</v>
      </c>
      <c r="F7" s="22" t="s">
        <v>34</v>
      </c>
      <c r="G7" s="22" t="s">
        <v>34</v>
      </c>
      <c r="H7" s="22" t="s">
        <v>34</v>
      </c>
      <c r="I7" s="56"/>
      <c r="J7" s="57"/>
      <c r="K7" s="57"/>
      <c r="L7" s="58"/>
      <c r="M7" s="62"/>
      <c r="N7" s="74"/>
      <c r="O7" s="74"/>
      <c r="P7" s="64"/>
      <c r="Q7" s="2" t="s">
        <v>32</v>
      </c>
    </row>
    <row r="8" spans="1:18" ht="27.75" customHeight="1" x14ac:dyDescent="0.25">
      <c r="A8" s="3">
        <v>3</v>
      </c>
      <c r="B8" s="49"/>
      <c r="C8" s="4">
        <v>2</v>
      </c>
      <c r="D8" s="4" t="s">
        <v>27</v>
      </c>
      <c r="E8" s="4" t="s">
        <v>35</v>
      </c>
      <c r="F8" s="22" t="s">
        <v>36</v>
      </c>
      <c r="G8" s="22" t="s">
        <v>37</v>
      </c>
      <c r="H8" s="22" t="s">
        <v>37</v>
      </c>
      <c r="I8" s="53" t="s">
        <v>38</v>
      </c>
      <c r="J8" s="54"/>
      <c r="K8" s="54"/>
      <c r="L8" s="55"/>
      <c r="M8" s="62"/>
      <c r="N8" s="74"/>
      <c r="O8" s="74"/>
      <c r="P8" s="64"/>
      <c r="Q8" s="2" t="s">
        <v>32</v>
      </c>
    </row>
    <row r="9" spans="1:18" ht="27.75" customHeight="1" x14ac:dyDescent="0.25">
      <c r="A9" s="3">
        <v>4</v>
      </c>
      <c r="B9" s="49"/>
      <c r="C9" s="4">
        <v>3</v>
      </c>
      <c r="D9" s="4" t="s">
        <v>27</v>
      </c>
      <c r="E9" s="4" t="s">
        <v>39</v>
      </c>
      <c r="F9" s="22" t="s">
        <v>40</v>
      </c>
      <c r="G9" s="22" t="s">
        <v>41</v>
      </c>
      <c r="H9" s="22" t="s">
        <v>41</v>
      </c>
      <c r="I9" s="56"/>
      <c r="J9" s="57"/>
      <c r="K9" s="57"/>
      <c r="L9" s="58"/>
      <c r="M9" s="62"/>
      <c r="N9" s="74"/>
      <c r="O9" s="74"/>
      <c r="P9" s="64"/>
      <c r="Q9" s="2" t="s">
        <v>32</v>
      </c>
    </row>
    <row r="10" spans="1:18" ht="27.75" customHeight="1" x14ac:dyDescent="0.25">
      <c r="A10" s="3">
        <v>5</v>
      </c>
      <c r="B10" s="49"/>
      <c r="C10" s="4">
        <v>4</v>
      </c>
      <c r="D10" s="4" t="s">
        <v>27</v>
      </c>
      <c r="E10" s="4" t="s">
        <v>42</v>
      </c>
      <c r="F10" s="22" t="s">
        <v>43</v>
      </c>
      <c r="G10" s="22" t="s">
        <v>43</v>
      </c>
      <c r="H10" s="22" t="s">
        <v>43</v>
      </c>
      <c r="I10" s="53" t="s">
        <v>44</v>
      </c>
      <c r="J10" s="54"/>
      <c r="K10" s="54"/>
      <c r="L10" s="55"/>
      <c r="M10" s="62"/>
      <c r="N10" s="74"/>
      <c r="O10" s="74"/>
      <c r="P10" s="64"/>
      <c r="Q10" s="2" t="s">
        <v>32</v>
      </c>
    </row>
    <row r="11" spans="1:18" ht="27.75" customHeight="1" x14ac:dyDescent="0.25">
      <c r="A11" s="3">
        <v>6</v>
      </c>
      <c r="B11" s="49"/>
      <c r="C11" s="4">
        <v>5</v>
      </c>
      <c r="D11" s="4" t="s">
        <v>27</v>
      </c>
      <c r="E11" s="4" t="s">
        <v>45</v>
      </c>
      <c r="F11" s="22" t="s">
        <v>46</v>
      </c>
      <c r="G11" s="22" t="s">
        <v>46</v>
      </c>
      <c r="H11" s="22" t="s">
        <v>46</v>
      </c>
      <c r="I11" s="56"/>
      <c r="J11" s="57"/>
      <c r="K11" s="57"/>
      <c r="L11" s="58"/>
      <c r="M11" s="62"/>
      <c r="N11" s="74"/>
      <c r="O11" s="74"/>
      <c r="P11" s="64"/>
      <c r="Q11" s="2" t="s">
        <v>32</v>
      </c>
    </row>
    <row r="12" spans="1:18" ht="27.75" customHeight="1" x14ac:dyDescent="0.25">
      <c r="A12" s="3">
        <v>7</v>
      </c>
      <c r="B12" s="49"/>
      <c r="C12" s="4">
        <v>6</v>
      </c>
      <c r="D12" s="4" t="s">
        <v>27</v>
      </c>
      <c r="E12" s="4" t="s">
        <v>47</v>
      </c>
      <c r="F12" s="22" t="s">
        <v>48</v>
      </c>
      <c r="G12" s="22" t="s">
        <v>48</v>
      </c>
      <c r="H12" s="22" t="s">
        <v>48</v>
      </c>
      <c r="I12" s="53" t="s">
        <v>49</v>
      </c>
      <c r="J12" s="54"/>
      <c r="K12" s="54"/>
      <c r="L12" s="55"/>
      <c r="M12" s="62"/>
      <c r="N12" s="74"/>
      <c r="O12" s="74"/>
      <c r="P12" s="64"/>
      <c r="Q12" s="2" t="s">
        <v>32</v>
      </c>
    </row>
    <row r="13" spans="1:18" ht="27.75" customHeight="1" x14ac:dyDescent="0.25">
      <c r="A13" s="3">
        <v>8</v>
      </c>
      <c r="B13" s="49"/>
      <c r="C13" s="4">
        <v>7</v>
      </c>
      <c r="D13" s="4" t="s">
        <v>27</v>
      </c>
      <c r="E13" s="4" t="s">
        <v>50</v>
      </c>
      <c r="F13" s="22" t="s">
        <v>51</v>
      </c>
      <c r="G13" s="22" t="s">
        <v>51</v>
      </c>
      <c r="H13" s="22" t="s">
        <v>51</v>
      </c>
      <c r="I13" s="56"/>
      <c r="J13" s="57"/>
      <c r="K13" s="57"/>
      <c r="L13" s="58"/>
      <c r="M13" s="62"/>
      <c r="N13" s="74"/>
      <c r="O13" s="74"/>
      <c r="P13" s="64"/>
      <c r="Q13" s="2" t="s">
        <v>32</v>
      </c>
    </row>
    <row r="14" spans="1:18" ht="27.75" customHeight="1" x14ac:dyDescent="0.25">
      <c r="A14" s="3">
        <v>9</v>
      </c>
      <c r="B14" s="49"/>
      <c r="C14" s="4">
        <v>8</v>
      </c>
      <c r="D14" s="4" t="s">
        <v>27</v>
      </c>
      <c r="E14" s="4" t="s">
        <v>52</v>
      </c>
      <c r="F14" s="22" t="s">
        <v>53</v>
      </c>
      <c r="G14" s="22" t="s">
        <v>53</v>
      </c>
      <c r="H14" s="22" t="s">
        <v>53</v>
      </c>
      <c r="I14" s="53" t="s">
        <v>54</v>
      </c>
      <c r="J14" s="54"/>
      <c r="K14" s="54"/>
      <c r="L14" s="55"/>
      <c r="M14" s="62"/>
      <c r="N14" s="74"/>
      <c r="O14" s="74"/>
      <c r="P14" s="64"/>
      <c r="Q14" s="2" t="s">
        <v>32</v>
      </c>
    </row>
    <row r="15" spans="1:18" ht="27.75" customHeight="1" x14ac:dyDescent="0.25">
      <c r="A15" s="3">
        <v>10</v>
      </c>
      <c r="B15" s="49"/>
      <c r="C15" s="4">
        <v>9</v>
      </c>
      <c r="D15" s="4" t="s">
        <v>27</v>
      </c>
      <c r="E15" s="4" t="s">
        <v>55</v>
      </c>
      <c r="F15" s="22" t="s">
        <v>56</v>
      </c>
      <c r="G15" s="22" t="s">
        <v>56</v>
      </c>
      <c r="H15" s="22" t="s">
        <v>56</v>
      </c>
      <c r="I15" s="56"/>
      <c r="J15" s="57"/>
      <c r="K15" s="57"/>
      <c r="L15" s="58"/>
      <c r="M15" s="62"/>
      <c r="N15" s="74"/>
      <c r="O15" s="74"/>
      <c r="P15" s="64"/>
      <c r="Q15" s="2" t="s">
        <v>32</v>
      </c>
    </row>
    <row r="16" spans="1:18" ht="27.75" customHeight="1" x14ac:dyDescent="0.25">
      <c r="A16" s="3">
        <v>11</v>
      </c>
      <c r="B16" s="49"/>
      <c r="C16" s="4">
        <v>10</v>
      </c>
      <c r="D16" s="4" t="s">
        <v>27</v>
      </c>
      <c r="E16" s="4" t="s">
        <v>57</v>
      </c>
      <c r="F16" s="23" t="s">
        <v>58</v>
      </c>
      <c r="G16" s="23" t="s">
        <v>59</v>
      </c>
      <c r="H16" s="23" t="s">
        <v>59</v>
      </c>
      <c r="I16" s="59" t="s">
        <v>60</v>
      </c>
      <c r="J16" s="60"/>
      <c r="K16" s="60"/>
      <c r="L16" s="61"/>
      <c r="M16" s="62"/>
      <c r="N16" s="74"/>
      <c r="O16" s="74"/>
      <c r="P16" s="64"/>
      <c r="Q16" s="6" t="s">
        <v>32</v>
      </c>
      <c r="R16" s="51"/>
    </row>
    <row r="17" spans="1:18" ht="27.75" customHeight="1" x14ac:dyDescent="0.25">
      <c r="A17" s="3">
        <v>12</v>
      </c>
      <c r="B17" s="49"/>
      <c r="C17" s="4">
        <v>11</v>
      </c>
      <c r="D17" s="4" t="s">
        <v>27</v>
      </c>
      <c r="E17" s="4" t="s">
        <v>61</v>
      </c>
      <c r="F17" s="23" t="s">
        <v>62</v>
      </c>
      <c r="G17" s="23" t="s">
        <v>63</v>
      </c>
      <c r="H17" s="23" t="s">
        <v>63</v>
      </c>
      <c r="I17" s="62"/>
      <c r="J17" s="63"/>
      <c r="K17" s="63"/>
      <c r="L17" s="64"/>
      <c r="M17" s="62"/>
      <c r="N17" s="74"/>
      <c r="O17" s="74"/>
      <c r="P17" s="64"/>
      <c r="Q17" s="6" t="s">
        <v>32</v>
      </c>
      <c r="R17" s="52"/>
    </row>
    <row r="18" spans="1:18" ht="27.75" customHeight="1" x14ac:dyDescent="0.25">
      <c r="A18" s="3">
        <v>13</v>
      </c>
      <c r="B18" s="49"/>
      <c r="C18" s="4">
        <v>12</v>
      </c>
      <c r="D18" s="4" t="s">
        <v>27</v>
      </c>
      <c r="E18" s="4" t="s">
        <v>64</v>
      </c>
      <c r="F18" s="23" t="s">
        <v>65</v>
      </c>
      <c r="G18" s="23" t="s">
        <v>66</v>
      </c>
      <c r="H18" s="23" t="s">
        <v>66</v>
      </c>
      <c r="I18" s="62"/>
      <c r="J18" s="63"/>
      <c r="K18" s="63"/>
      <c r="L18" s="64"/>
      <c r="M18" s="62"/>
      <c r="N18" s="74"/>
      <c r="O18" s="74"/>
      <c r="P18" s="64"/>
      <c r="Q18" s="6" t="s">
        <v>32</v>
      </c>
      <c r="R18" s="52"/>
    </row>
    <row r="19" spans="1:18" ht="27.75" customHeight="1" x14ac:dyDescent="0.25">
      <c r="A19" s="3">
        <v>14</v>
      </c>
      <c r="B19" s="49"/>
      <c r="C19" s="4">
        <v>13</v>
      </c>
      <c r="D19" s="4" t="s">
        <v>27</v>
      </c>
      <c r="E19" s="4" t="s">
        <v>67</v>
      </c>
      <c r="F19" s="23" t="s">
        <v>68</v>
      </c>
      <c r="G19" s="23"/>
      <c r="H19" s="23"/>
      <c r="I19" s="62"/>
      <c r="J19" s="63"/>
      <c r="K19" s="63"/>
      <c r="L19" s="64"/>
      <c r="M19" s="62"/>
      <c r="N19" s="74"/>
      <c r="O19" s="74"/>
      <c r="P19" s="64"/>
      <c r="Q19" s="6" t="s">
        <v>32</v>
      </c>
      <c r="R19" s="52"/>
    </row>
    <row r="20" spans="1:18" ht="27.75" customHeight="1" x14ac:dyDescent="0.25">
      <c r="A20" s="3">
        <v>15</v>
      </c>
      <c r="B20" s="49"/>
      <c r="C20" s="4">
        <v>14</v>
      </c>
      <c r="D20" s="4" t="s">
        <v>27</v>
      </c>
      <c r="E20" s="4" t="s">
        <v>69</v>
      </c>
      <c r="F20" s="22" t="s">
        <v>70</v>
      </c>
      <c r="G20" s="22"/>
      <c r="H20" s="22"/>
      <c r="I20" s="65"/>
      <c r="J20" s="66"/>
      <c r="K20" s="66"/>
      <c r="L20" s="67"/>
      <c r="M20" s="62"/>
      <c r="N20" s="74"/>
      <c r="O20" s="74"/>
      <c r="P20" s="64"/>
      <c r="Q20" s="6" t="s">
        <v>32</v>
      </c>
      <c r="R20" s="52"/>
    </row>
    <row r="21" spans="1:18" ht="27.75" customHeight="1" x14ac:dyDescent="0.25">
      <c r="A21" s="3">
        <v>16</v>
      </c>
      <c r="B21" s="50"/>
      <c r="C21" s="4">
        <v>15</v>
      </c>
      <c r="D21" s="4" t="s">
        <v>27</v>
      </c>
      <c r="E21" s="4" t="s">
        <v>71</v>
      </c>
      <c r="F21" s="22" t="s">
        <v>72</v>
      </c>
      <c r="G21" s="22" t="s">
        <v>72</v>
      </c>
      <c r="H21" s="22" t="s">
        <v>72</v>
      </c>
      <c r="I21" s="68" t="s">
        <v>73</v>
      </c>
      <c r="J21" s="69"/>
      <c r="K21" s="69"/>
      <c r="L21" s="70"/>
      <c r="M21" s="62"/>
      <c r="N21" s="74"/>
      <c r="O21" s="74"/>
      <c r="P21" s="64"/>
      <c r="Q21" s="2" t="s">
        <v>32</v>
      </c>
    </row>
    <row r="22" spans="1:18" ht="27.75" customHeight="1" x14ac:dyDescent="0.25">
      <c r="A22" s="3">
        <v>17</v>
      </c>
      <c r="B22" s="48">
        <v>1</v>
      </c>
      <c r="C22" s="4">
        <v>0</v>
      </c>
      <c r="D22" s="4" t="s">
        <v>27</v>
      </c>
      <c r="E22" s="4" t="s">
        <v>74</v>
      </c>
      <c r="F22" s="22" t="s">
        <v>75</v>
      </c>
      <c r="G22" s="22" t="s">
        <v>75</v>
      </c>
      <c r="H22" s="22" t="s">
        <v>75</v>
      </c>
      <c r="I22" s="71"/>
      <c r="J22" s="72"/>
      <c r="K22" s="72"/>
      <c r="L22" s="73"/>
      <c r="M22" s="62"/>
      <c r="N22" s="74"/>
      <c r="O22" s="74"/>
      <c r="P22" s="64"/>
      <c r="Q22" s="2" t="s">
        <v>32</v>
      </c>
    </row>
    <row r="23" spans="1:18" ht="27.75" customHeight="1" x14ac:dyDescent="0.25">
      <c r="A23" s="3">
        <v>18</v>
      </c>
      <c r="B23" s="49"/>
      <c r="C23" s="4">
        <v>1</v>
      </c>
      <c r="D23" s="4" t="s">
        <v>27</v>
      </c>
      <c r="E23" s="4" t="s">
        <v>76</v>
      </c>
      <c r="F23" s="24" t="s">
        <v>77</v>
      </c>
      <c r="G23" s="25"/>
      <c r="H23" s="26"/>
      <c r="I23" s="22" t="s">
        <v>78</v>
      </c>
      <c r="J23" s="22"/>
      <c r="K23" s="22"/>
      <c r="L23" s="22"/>
      <c r="M23" s="65"/>
      <c r="N23" s="66"/>
      <c r="O23" s="66"/>
      <c r="P23" s="67"/>
      <c r="Q23" s="2" t="s">
        <v>32</v>
      </c>
    </row>
    <row r="24" spans="1:18" ht="27.75" customHeight="1" x14ac:dyDescent="0.25">
      <c r="A24" s="3">
        <v>19</v>
      </c>
      <c r="B24" s="49"/>
      <c r="C24" s="4">
        <v>2</v>
      </c>
      <c r="D24" s="4" t="s">
        <v>27</v>
      </c>
      <c r="E24" s="4" t="s">
        <v>79</v>
      </c>
      <c r="F24" s="24" t="s">
        <v>80</v>
      </c>
      <c r="G24" s="25"/>
      <c r="H24" s="26"/>
      <c r="I24" s="22" t="s">
        <v>81</v>
      </c>
      <c r="J24" s="22"/>
      <c r="K24" s="22"/>
      <c r="L24" s="22"/>
      <c r="M24" s="22" t="s">
        <v>82</v>
      </c>
      <c r="N24" s="22"/>
      <c r="O24" s="22"/>
      <c r="P24" s="22"/>
      <c r="Q24" s="2" t="s">
        <v>32</v>
      </c>
    </row>
    <row r="25" spans="1:18" ht="30" customHeight="1" x14ac:dyDescent="0.25">
      <c r="A25" s="3">
        <v>20</v>
      </c>
      <c r="B25" s="49"/>
      <c r="C25" s="4">
        <v>3</v>
      </c>
      <c r="D25" s="4" t="s">
        <v>27</v>
      </c>
      <c r="E25" s="4" t="s">
        <v>83</v>
      </c>
      <c r="F25" s="23" t="s">
        <v>84</v>
      </c>
      <c r="G25" s="23"/>
      <c r="H25" s="23"/>
      <c r="I25" s="22" t="s">
        <v>70</v>
      </c>
      <c r="J25" s="22"/>
      <c r="K25" s="22"/>
      <c r="L25" s="22"/>
      <c r="M25" s="53" t="s">
        <v>85</v>
      </c>
      <c r="N25" s="54"/>
      <c r="O25" s="54"/>
      <c r="P25" s="55"/>
      <c r="Q25" s="2" t="s">
        <v>32</v>
      </c>
    </row>
    <row r="26" spans="1:18" ht="29" customHeight="1" x14ac:dyDescent="0.25">
      <c r="A26" s="3">
        <v>21</v>
      </c>
      <c r="B26" s="49"/>
      <c r="C26" s="4">
        <v>4</v>
      </c>
      <c r="D26" s="4" t="s">
        <v>27</v>
      </c>
      <c r="E26" s="4" t="s">
        <v>86</v>
      </c>
      <c r="F26" s="23" t="s">
        <v>87</v>
      </c>
      <c r="G26" s="23"/>
      <c r="H26" s="23"/>
      <c r="I26" s="22" t="s">
        <v>70</v>
      </c>
      <c r="J26" s="22"/>
      <c r="K26" s="22"/>
      <c r="L26" s="22"/>
      <c r="M26" s="56"/>
      <c r="N26" s="57"/>
      <c r="O26" s="57"/>
      <c r="P26" s="58"/>
      <c r="Q26" s="2" t="s">
        <v>32</v>
      </c>
    </row>
    <row r="27" spans="1:18" ht="27.75" customHeight="1" x14ac:dyDescent="0.25">
      <c r="A27" s="3">
        <v>22</v>
      </c>
      <c r="B27" s="49"/>
      <c r="C27" s="4">
        <v>5</v>
      </c>
      <c r="D27" s="4" t="s">
        <v>27</v>
      </c>
      <c r="E27" s="4" t="s">
        <v>88</v>
      </c>
      <c r="F27" s="22" t="s">
        <v>89</v>
      </c>
      <c r="G27" s="22"/>
      <c r="H27" s="22"/>
      <c r="I27" s="22" t="s">
        <v>70</v>
      </c>
      <c r="J27" s="22"/>
      <c r="K27" s="22"/>
      <c r="L27" s="22"/>
      <c r="M27" s="22" t="s">
        <v>70</v>
      </c>
      <c r="N27" s="22"/>
      <c r="O27" s="22"/>
      <c r="P27" s="22"/>
      <c r="Q27" s="2" t="s">
        <v>32</v>
      </c>
    </row>
    <row r="28" spans="1:18" ht="27.75" customHeight="1" x14ac:dyDescent="0.25">
      <c r="A28" s="3">
        <v>23</v>
      </c>
      <c r="B28" s="49"/>
      <c r="C28" s="4">
        <v>6</v>
      </c>
      <c r="D28" s="4" t="s">
        <v>27</v>
      </c>
      <c r="E28" s="4" t="s">
        <v>90</v>
      </c>
      <c r="F28" s="22" t="s">
        <v>89</v>
      </c>
      <c r="G28" s="22"/>
      <c r="H28" s="22"/>
      <c r="I28" s="22" t="s">
        <v>70</v>
      </c>
      <c r="J28" s="22"/>
      <c r="K28" s="22"/>
      <c r="L28" s="22"/>
      <c r="M28" s="22" t="s">
        <v>70</v>
      </c>
      <c r="N28" s="22"/>
      <c r="O28" s="22"/>
      <c r="P28" s="22"/>
      <c r="Q28" s="2" t="s">
        <v>32</v>
      </c>
    </row>
    <row r="29" spans="1:18" ht="27.75" customHeight="1" x14ac:dyDescent="0.25">
      <c r="A29" s="3">
        <v>24</v>
      </c>
      <c r="B29" s="49"/>
      <c r="C29" s="4">
        <v>7</v>
      </c>
      <c r="D29" s="4" t="s">
        <v>27</v>
      </c>
      <c r="E29" s="4" t="s">
        <v>91</v>
      </c>
      <c r="F29" s="22" t="s">
        <v>89</v>
      </c>
      <c r="G29" s="22"/>
      <c r="H29" s="22"/>
      <c r="I29" s="22" t="s">
        <v>70</v>
      </c>
      <c r="J29" s="22"/>
      <c r="K29" s="22"/>
      <c r="L29" s="22"/>
      <c r="M29" s="22" t="s">
        <v>70</v>
      </c>
      <c r="N29" s="22"/>
      <c r="O29" s="22"/>
      <c r="P29" s="22"/>
      <c r="Q29" s="2" t="s">
        <v>32</v>
      </c>
    </row>
    <row r="30" spans="1:18" ht="27.75" customHeight="1" x14ac:dyDescent="0.25">
      <c r="A30" s="3">
        <v>25</v>
      </c>
      <c r="B30" s="49"/>
      <c r="C30" s="4">
        <v>8</v>
      </c>
      <c r="D30" s="4" t="s">
        <v>27</v>
      </c>
      <c r="E30" s="4" t="s">
        <v>92</v>
      </c>
      <c r="F30" s="24" t="s">
        <v>93</v>
      </c>
      <c r="G30" s="25" t="s">
        <v>93</v>
      </c>
      <c r="H30" s="26" t="s">
        <v>93</v>
      </c>
      <c r="I30" s="22" t="s">
        <v>94</v>
      </c>
      <c r="J30" s="22" t="s">
        <v>94</v>
      </c>
      <c r="K30" s="22" t="s">
        <v>94</v>
      </c>
      <c r="L30" s="22" t="s">
        <v>94</v>
      </c>
      <c r="M30" s="59" t="s">
        <v>95</v>
      </c>
      <c r="N30" s="60"/>
      <c r="O30" s="60"/>
      <c r="P30" s="61"/>
      <c r="Q30" s="2" t="s">
        <v>32</v>
      </c>
    </row>
    <row r="31" spans="1:18" ht="27.75" customHeight="1" x14ac:dyDescent="0.25">
      <c r="A31" s="3">
        <v>26</v>
      </c>
      <c r="B31" s="49"/>
      <c r="C31" s="4">
        <v>9</v>
      </c>
      <c r="D31" s="4" t="s">
        <v>27</v>
      </c>
      <c r="E31" s="4" t="s">
        <v>96</v>
      </c>
      <c r="F31" s="24" t="s">
        <v>97</v>
      </c>
      <c r="G31" s="25" t="s">
        <v>97</v>
      </c>
      <c r="H31" s="26" t="s">
        <v>97</v>
      </c>
      <c r="I31" s="22" t="s">
        <v>98</v>
      </c>
      <c r="J31" s="22" t="s">
        <v>98</v>
      </c>
      <c r="K31" s="22" t="s">
        <v>98</v>
      </c>
      <c r="L31" s="22" t="s">
        <v>98</v>
      </c>
      <c r="M31" s="65"/>
      <c r="N31" s="66"/>
      <c r="O31" s="66"/>
      <c r="P31" s="67"/>
      <c r="Q31" s="2" t="s">
        <v>32</v>
      </c>
    </row>
    <row r="32" spans="1:18" ht="27.75" customHeight="1" x14ac:dyDescent="0.25">
      <c r="A32" s="3">
        <v>27</v>
      </c>
      <c r="B32" s="49"/>
      <c r="C32" s="4">
        <v>10</v>
      </c>
      <c r="D32" s="4" t="s">
        <v>27</v>
      </c>
      <c r="E32" s="4" t="s">
        <v>99</v>
      </c>
      <c r="F32" s="24" t="s">
        <v>100</v>
      </c>
      <c r="G32" s="25" t="s">
        <v>100</v>
      </c>
      <c r="H32" s="26" t="s">
        <v>100</v>
      </c>
      <c r="I32" s="59" t="s">
        <v>101</v>
      </c>
      <c r="J32" s="60"/>
      <c r="K32" s="60"/>
      <c r="L32" s="61"/>
      <c r="M32" s="59" t="s">
        <v>102</v>
      </c>
      <c r="N32" s="60"/>
      <c r="O32" s="60"/>
      <c r="P32" s="61"/>
      <c r="Q32" s="2" t="s">
        <v>32</v>
      </c>
    </row>
    <row r="33" spans="1:17" ht="27.75" customHeight="1" x14ac:dyDescent="0.25">
      <c r="A33" s="3">
        <v>28</v>
      </c>
      <c r="B33" s="49"/>
      <c r="C33" s="4">
        <v>11</v>
      </c>
      <c r="D33" s="4" t="s">
        <v>27</v>
      </c>
      <c r="E33" s="4" t="s">
        <v>103</v>
      </c>
      <c r="F33" s="24" t="s">
        <v>104</v>
      </c>
      <c r="G33" s="25" t="s">
        <v>104</v>
      </c>
      <c r="H33" s="26" t="s">
        <v>104</v>
      </c>
      <c r="I33" s="65"/>
      <c r="J33" s="66"/>
      <c r="K33" s="66"/>
      <c r="L33" s="67"/>
      <c r="M33" s="65"/>
      <c r="N33" s="66"/>
      <c r="O33" s="66"/>
      <c r="P33" s="67"/>
      <c r="Q33" s="2" t="s">
        <v>32</v>
      </c>
    </row>
    <row r="34" spans="1:17" ht="27.75" customHeight="1" x14ac:dyDescent="0.25">
      <c r="A34" s="3">
        <v>29</v>
      </c>
      <c r="B34" s="49"/>
      <c r="C34" s="4">
        <v>12</v>
      </c>
      <c r="D34" s="4" t="s">
        <v>27</v>
      </c>
      <c r="E34" s="4" t="s">
        <v>105</v>
      </c>
      <c r="F34" s="24" t="s">
        <v>106</v>
      </c>
      <c r="G34" s="25" t="s">
        <v>106</v>
      </c>
      <c r="H34" s="26" t="s">
        <v>106</v>
      </c>
      <c r="I34" s="24" t="s">
        <v>107</v>
      </c>
      <c r="J34" s="25" t="s">
        <v>107</v>
      </c>
      <c r="K34" s="25" t="s">
        <v>107</v>
      </c>
      <c r="L34" s="26" t="s">
        <v>107</v>
      </c>
      <c r="M34" s="59" t="s">
        <v>108</v>
      </c>
      <c r="N34" s="60"/>
      <c r="O34" s="60"/>
      <c r="P34" s="61"/>
      <c r="Q34" s="2" t="s">
        <v>32</v>
      </c>
    </row>
    <row r="35" spans="1:17" ht="27.75" customHeight="1" x14ac:dyDescent="0.25">
      <c r="A35" s="3">
        <v>30</v>
      </c>
      <c r="B35" s="49"/>
      <c r="C35" s="4">
        <v>13</v>
      </c>
      <c r="D35" s="4" t="s">
        <v>27</v>
      </c>
      <c r="E35" s="4" t="s">
        <v>109</v>
      </c>
      <c r="F35" s="24" t="s">
        <v>110</v>
      </c>
      <c r="G35" s="25" t="s">
        <v>110</v>
      </c>
      <c r="H35" s="26" t="s">
        <v>110</v>
      </c>
      <c r="I35" s="24" t="s">
        <v>111</v>
      </c>
      <c r="J35" s="25" t="s">
        <v>111</v>
      </c>
      <c r="K35" s="25" t="s">
        <v>111</v>
      </c>
      <c r="L35" s="26" t="s">
        <v>111</v>
      </c>
      <c r="M35" s="65"/>
      <c r="N35" s="66"/>
      <c r="O35" s="66"/>
      <c r="P35" s="67"/>
      <c r="Q35" s="2" t="s">
        <v>32</v>
      </c>
    </row>
    <row r="36" spans="1:17" ht="27.75" customHeight="1" x14ac:dyDescent="0.25">
      <c r="A36" s="3">
        <v>31</v>
      </c>
      <c r="B36" s="49"/>
      <c r="C36" s="4">
        <v>14</v>
      </c>
      <c r="D36" s="4" t="s">
        <v>27</v>
      </c>
      <c r="E36" s="4" t="s">
        <v>112</v>
      </c>
      <c r="F36" s="22" t="s">
        <v>113</v>
      </c>
      <c r="G36" s="22" t="s">
        <v>113</v>
      </c>
      <c r="H36" s="22" t="s">
        <v>113</v>
      </c>
      <c r="I36" s="22" t="s">
        <v>114</v>
      </c>
      <c r="J36" s="22" t="s">
        <v>114</v>
      </c>
      <c r="K36" s="22" t="s">
        <v>114</v>
      </c>
      <c r="L36" s="22" t="s">
        <v>114</v>
      </c>
      <c r="M36" s="59" t="s">
        <v>115</v>
      </c>
      <c r="N36" s="60"/>
      <c r="O36" s="60"/>
      <c r="P36" s="61"/>
      <c r="Q36" s="2" t="s">
        <v>32</v>
      </c>
    </row>
    <row r="37" spans="1:17" ht="27.75" customHeight="1" x14ac:dyDescent="0.25">
      <c r="A37" s="3">
        <v>32</v>
      </c>
      <c r="B37" s="50"/>
      <c r="C37" s="4">
        <v>15</v>
      </c>
      <c r="D37" s="4" t="s">
        <v>27</v>
      </c>
      <c r="E37" s="4" t="s">
        <v>116</v>
      </c>
      <c r="F37" s="22" t="s">
        <v>117</v>
      </c>
      <c r="G37" s="22" t="s">
        <v>117</v>
      </c>
      <c r="H37" s="22" t="s">
        <v>117</v>
      </c>
      <c r="I37" s="22" t="s">
        <v>118</v>
      </c>
      <c r="J37" s="22" t="s">
        <v>118</v>
      </c>
      <c r="K37" s="22" t="s">
        <v>118</v>
      </c>
      <c r="L37" s="22" t="s">
        <v>118</v>
      </c>
      <c r="M37" s="65"/>
      <c r="N37" s="66"/>
      <c r="O37" s="66"/>
      <c r="P37" s="67"/>
      <c r="Q37" s="2" t="s">
        <v>32</v>
      </c>
    </row>
    <row r="38" spans="1:17" ht="27.75" customHeight="1" x14ac:dyDescent="0.25">
      <c r="A38" s="3">
        <v>33</v>
      </c>
      <c r="B38" s="8" t="s">
        <v>119</v>
      </c>
      <c r="C38" s="3" t="s">
        <v>70</v>
      </c>
      <c r="D38" s="3" t="s">
        <v>120</v>
      </c>
      <c r="E38" s="4" t="s">
        <v>121</v>
      </c>
      <c r="F38" s="19" t="s">
        <v>122</v>
      </c>
      <c r="G38" s="19"/>
      <c r="H38" s="19"/>
      <c r="I38" s="19" t="s">
        <v>123</v>
      </c>
      <c r="J38" s="19"/>
      <c r="K38" s="19"/>
      <c r="L38" s="19"/>
      <c r="M38" s="19" t="s">
        <v>70</v>
      </c>
      <c r="N38" s="19"/>
      <c r="O38" s="19"/>
      <c r="P38" s="19"/>
      <c r="Q38" s="2" t="s">
        <v>32</v>
      </c>
    </row>
    <row r="39" spans="1:17" ht="27.75" customHeight="1" x14ac:dyDescent="0.25">
      <c r="A39" s="3">
        <v>34</v>
      </c>
      <c r="B39" s="9" t="str">
        <f>IFERROR((VALUE(TRIM(RIGHT(B38,LEN(B38)-FIND("-",B38))))+1)&amp;"-"&amp;IF(UPPER(TRIM(D39))="INT",VALUE(TRIM(RIGHT(B38,LEN(B38)-FIND("-",B38))))+1,IF(UPPER(TRIM(D39))="UINT",VALUE(TRIM(RIGHT(B38,LEN(B38)-FIND("-",B38))))+2,IF(UPPER(TRIM(D39))="REAL",VALUE(TRIM(RIGHT(B38,LEN(B38)-FIND("-",B38))))+2,IF(UPPER(TRIM(D39))="DINT",VALUE(TRIM(RIGHT(B38,LEN(B38)-FIND("-",B38))))+2,IF(UPPER(TRIM(D39))="UDINT",VALUE(TRIM(RIGHT(B38,LEN(B38)-FIND("-",B38))))+2,IF(LEFT(UPPER(TRIM(D39)),6)="STRING",VALUE(TRIM(RIGHT(B38,LEN(B38)-FIND("-",B38))))+VALUE(MID(UPPER(TRIM(D39)),FIND("[",UPPER(TRIM(D39)))+1,FIND("]",UPPER(TRIM(D39)))-FIND("[",UPPER(TRIM(D39)))-1)),"类型错误")))))),"格式错误")</f>
        <v>3-3</v>
      </c>
      <c r="C39" s="10" t="s">
        <v>70</v>
      </c>
      <c r="D39" s="3" t="s">
        <v>120</v>
      </c>
      <c r="E39" s="4" t="s">
        <v>124</v>
      </c>
      <c r="F39" s="27" t="s">
        <v>125</v>
      </c>
      <c r="G39" s="28"/>
      <c r="H39" s="29"/>
      <c r="I39" s="30" t="s">
        <v>126</v>
      </c>
      <c r="J39" s="31"/>
      <c r="K39" s="31"/>
      <c r="L39" s="32"/>
      <c r="M39" s="30" t="s">
        <v>127</v>
      </c>
      <c r="N39" s="31"/>
      <c r="O39" s="31"/>
      <c r="P39" s="32"/>
      <c r="Q39" s="11" t="s">
        <v>32</v>
      </c>
    </row>
    <row r="40" spans="1:17" ht="27.75" customHeight="1" x14ac:dyDescent="0.25">
      <c r="A40" s="3">
        <v>35</v>
      </c>
      <c r="B40" s="9" t="str">
        <f>IFERROR((VALUE(TRIM(RIGHT(B39,LEN(B39)-FIND("-",B39))))+1)&amp;"-"&amp;IF(UPPER(TRIM(D40))="INT",VALUE(TRIM(RIGHT(B39,LEN(B39)-FIND("-",B39))))+1,IF(UPPER(TRIM(D40))="UINT",VALUE(TRIM(RIGHT(B39,LEN(B39)-FIND("-",B39))))+2,IF(UPPER(TRIM(D40))="REAL",VALUE(TRIM(RIGHT(B39,LEN(B39)-FIND("-",B39))))+2,IF(UPPER(TRIM(D40))="DINT",VALUE(TRIM(RIGHT(B39,LEN(B39)-FIND("-",B39))))+2,IF(UPPER(TRIM(D40))="UDINT",VALUE(TRIM(RIGHT(B39,LEN(B39)-FIND("-",B39))))+2,IF(LEFT(UPPER(TRIM(D40)),6)="STRING",VALUE(TRIM(RIGHT(B39,LEN(B39)-FIND("-",B39))))+VALUE(MID(UPPER(TRIM(D40)),FIND("[",UPPER(TRIM(D40)))+1,FIND("]",UPPER(TRIM(D40)))-FIND("[",UPPER(TRIM(D40)))-1)),"类型错误")))))),"格式错误")</f>
        <v>4-4</v>
      </c>
      <c r="C40" s="3" t="s">
        <v>70</v>
      </c>
      <c r="D40" s="3" t="s">
        <v>120</v>
      </c>
      <c r="E40" s="4" t="s">
        <v>128</v>
      </c>
      <c r="F40" s="23" t="s">
        <v>129</v>
      </c>
      <c r="G40" s="23"/>
      <c r="H40" s="23"/>
      <c r="I40" s="59" t="s">
        <v>130</v>
      </c>
      <c r="J40" s="60"/>
      <c r="K40" s="60"/>
      <c r="L40" s="61"/>
      <c r="M40" s="59" t="s">
        <v>131</v>
      </c>
      <c r="N40" s="60"/>
      <c r="O40" s="60"/>
      <c r="P40" s="61"/>
      <c r="Q40" s="2" t="s">
        <v>32</v>
      </c>
    </row>
    <row r="41" spans="1:17" ht="27.75" customHeight="1" x14ac:dyDescent="0.25">
      <c r="A41" s="3">
        <v>36</v>
      </c>
      <c r="B41" s="9" t="str">
        <f t="shared" ref="B41:B47" si="0">IFERROR((VALUE(TRIM(RIGHT(B40,LEN(B40)-FIND("-",B40))))+1)&amp;"-"&amp;IF(UPPER(TRIM(D41))="INT",VALUE(TRIM(RIGHT(B40,LEN(B40)-FIND("-",B40))))+1,IF(UPPER(TRIM(D41))="UINT",VALUE(TRIM(RIGHT(B40,LEN(B40)-FIND("-",B40))))+2,IF(UPPER(TRIM(D41))="REAL",VALUE(TRIM(RIGHT(B40,LEN(B40)-FIND("-",B40))))+2,IF(UPPER(TRIM(D41))="DINT",VALUE(TRIM(RIGHT(B40,LEN(B40)-FIND("-",B40))))+2,IF(UPPER(TRIM(D41))="UDINT",VALUE(TRIM(RIGHT(B40,LEN(B40)-FIND("-",B40))))+2,IF(LEFT(UPPER(TRIM(D41)),6)="STRING",VALUE(TRIM(RIGHT(B40,LEN(B40)-FIND("-",B40))))+VALUE(MID(UPPER(TRIM(D41)),FIND("[",UPPER(TRIM(D41)))+1,FIND("]",UPPER(TRIM(D41)))-FIND("[",UPPER(TRIM(D41)))-1)),"类型错误")))))),"格式错误")</f>
        <v>5-5</v>
      </c>
      <c r="C41" s="3" t="s">
        <v>70</v>
      </c>
      <c r="D41" s="3" t="s">
        <v>120</v>
      </c>
      <c r="E41" s="4" t="s">
        <v>132</v>
      </c>
      <c r="F41" s="23" t="s">
        <v>133</v>
      </c>
      <c r="G41" s="23"/>
      <c r="H41" s="23"/>
      <c r="I41" s="62"/>
      <c r="J41" s="74"/>
      <c r="K41" s="74"/>
      <c r="L41" s="64"/>
      <c r="M41" s="62"/>
      <c r="N41" s="63"/>
      <c r="O41" s="63"/>
      <c r="P41" s="64"/>
      <c r="Q41" s="2" t="s">
        <v>32</v>
      </c>
    </row>
    <row r="42" spans="1:17" ht="27.75" customHeight="1" x14ac:dyDescent="0.25">
      <c r="A42" s="3">
        <v>37</v>
      </c>
      <c r="B42" s="9" t="str">
        <f t="shared" si="0"/>
        <v>6-6</v>
      </c>
      <c r="C42" s="3" t="s">
        <v>70</v>
      </c>
      <c r="D42" s="3" t="s">
        <v>120</v>
      </c>
      <c r="E42" s="4" t="s">
        <v>134</v>
      </c>
      <c r="F42" s="23" t="s">
        <v>135</v>
      </c>
      <c r="G42" s="23"/>
      <c r="H42" s="23"/>
      <c r="I42" s="62"/>
      <c r="J42" s="74"/>
      <c r="K42" s="74"/>
      <c r="L42" s="64"/>
      <c r="M42" s="62"/>
      <c r="N42" s="63"/>
      <c r="O42" s="63"/>
      <c r="P42" s="64"/>
      <c r="Q42" s="2" t="s">
        <v>32</v>
      </c>
    </row>
    <row r="43" spans="1:17" ht="27.75" customHeight="1" x14ac:dyDescent="0.25">
      <c r="A43" s="3">
        <v>38</v>
      </c>
      <c r="B43" s="9" t="str">
        <f t="shared" si="0"/>
        <v>7-7</v>
      </c>
      <c r="C43" s="3" t="s">
        <v>70</v>
      </c>
      <c r="D43" s="3" t="s">
        <v>120</v>
      </c>
      <c r="E43" s="4" t="s">
        <v>136</v>
      </c>
      <c r="F43" s="23" t="s">
        <v>137</v>
      </c>
      <c r="G43" s="23"/>
      <c r="H43" s="23"/>
      <c r="I43" s="62"/>
      <c r="J43" s="74"/>
      <c r="K43" s="74"/>
      <c r="L43" s="64"/>
      <c r="M43" s="62"/>
      <c r="N43" s="63"/>
      <c r="O43" s="63"/>
      <c r="P43" s="64"/>
      <c r="Q43" s="2" t="s">
        <v>32</v>
      </c>
    </row>
    <row r="44" spans="1:17" ht="27.75" customHeight="1" x14ac:dyDescent="0.25">
      <c r="A44" s="3">
        <v>39</v>
      </c>
      <c r="B44" s="9" t="str">
        <f t="shared" si="0"/>
        <v>8-8</v>
      </c>
      <c r="C44" s="3" t="s">
        <v>70</v>
      </c>
      <c r="D44" s="3" t="s">
        <v>120</v>
      </c>
      <c r="E44" s="4" t="s">
        <v>138</v>
      </c>
      <c r="F44" s="23" t="s">
        <v>89</v>
      </c>
      <c r="G44" s="23"/>
      <c r="H44" s="23"/>
      <c r="I44" s="65"/>
      <c r="J44" s="66"/>
      <c r="K44" s="66"/>
      <c r="L44" s="67"/>
      <c r="M44" s="62"/>
      <c r="N44" s="63"/>
      <c r="O44" s="63"/>
      <c r="P44" s="64"/>
      <c r="Q44" s="2" t="s">
        <v>32</v>
      </c>
    </row>
    <row r="45" spans="1:17" ht="27.75" customHeight="1" x14ac:dyDescent="0.25">
      <c r="A45" s="3">
        <v>40</v>
      </c>
      <c r="B45" s="9" t="str">
        <f t="shared" si="0"/>
        <v>9-9</v>
      </c>
      <c r="C45" s="3" t="s">
        <v>70</v>
      </c>
      <c r="D45" s="3" t="s">
        <v>120</v>
      </c>
      <c r="E45" s="4" t="s">
        <v>139</v>
      </c>
      <c r="F45" s="22" t="s">
        <v>140</v>
      </c>
      <c r="G45" s="22"/>
      <c r="H45" s="22"/>
      <c r="I45" s="59" t="s">
        <v>141</v>
      </c>
      <c r="J45" s="60"/>
      <c r="K45" s="60"/>
      <c r="L45" s="61"/>
      <c r="M45" s="62"/>
      <c r="N45" s="63"/>
      <c r="O45" s="63"/>
      <c r="P45" s="64"/>
      <c r="Q45" s="2" t="s">
        <v>32</v>
      </c>
    </row>
    <row r="46" spans="1:17" ht="27.75" customHeight="1" x14ac:dyDescent="0.25">
      <c r="A46" s="3">
        <v>41</v>
      </c>
      <c r="B46" s="9" t="str">
        <f t="shared" si="0"/>
        <v>10-10</v>
      </c>
      <c r="C46" s="3" t="s">
        <v>70</v>
      </c>
      <c r="D46" s="3" t="s">
        <v>120</v>
      </c>
      <c r="E46" s="4" t="s">
        <v>142</v>
      </c>
      <c r="F46" s="22" t="s">
        <v>143</v>
      </c>
      <c r="G46" s="22"/>
      <c r="H46" s="22"/>
      <c r="I46" s="65"/>
      <c r="J46" s="66"/>
      <c r="K46" s="66"/>
      <c r="L46" s="67"/>
      <c r="M46" s="65"/>
      <c r="N46" s="66"/>
      <c r="O46" s="66"/>
      <c r="P46" s="67"/>
      <c r="Q46" s="2" t="s">
        <v>32</v>
      </c>
    </row>
    <row r="47" spans="1:17" ht="27.75" customHeight="1" x14ac:dyDescent="0.25">
      <c r="A47" s="3">
        <v>42</v>
      </c>
      <c r="B47" s="9" t="str">
        <f t="shared" si="0"/>
        <v>11-11</v>
      </c>
      <c r="C47" s="3" t="s">
        <v>70</v>
      </c>
      <c r="D47" s="3" t="s">
        <v>120</v>
      </c>
      <c r="E47" s="4" t="s">
        <v>144</v>
      </c>
      <c r="F47" s="19" t="s">
        <v>145</v>
      </c>
      <c r="G47" s="19" t="s">
        <v>145</v>
      </c>
      <c r="H47" s="19" t="s">
        <v>145</v>
      </c>
      <c r="I47" s="33" t="s">
        <v>146</v>
      </c>
      <c r="J47" s="34"/>
      <c r="K47" s="34"/>
      <c r="L47" s="35"/>
      <c r="M47" s="36" t="s">
        <v>147</v>
      </c>
      <c r="N47" s="37"/>
      <c r="O47" s="37"/>
      <c r="P47" s="38"/>
      <c r="Q47" s="2" t="s">
        <v>32</v>
      </c>
    </row>
    <row r="48" spans="1:17" ht="27.75" customHeight="1" x14ac:dyDescent="0.25">
      <c r="A48" s="3">
        <v>43</v>
      </c>
      <c r="B48" s="9" t="str">
        <f t="shared" ref="B48:B86" si="1">IFERROR((VALUE(TRIM(RIGHT(B47,LEN(B47)-FIND("-",B47))))+1)&amp;"-"&amp;IF(UPPER(TRIM(D48))="INT",VALUE(TRIM(RIGHT(B47,LEN(B47)-FIND("-",B47))))+1,IF(UPPER(TRIM(D48))="UINT",VALUE(TRIM(RIGHT(B47,LEN(B47)-FIND("-",B47))))+2,IF(UPPER(TRIM(D48))="REAL",VALUE(TRIM(RIGHT(B47,LEN(B47)-FIND("-",B47))))+2,IF(UPPER(TRIM(D48))="DINT",VALUE(TRIM(RIGHT(B47,LEN(B47)-FIND("-",B47))))+2,IF(UPPER(TRIM(D48))="UDINT",VALUE(TRIM(RIGHT(B47,LEN(B47)-FIND("-",B47))))+2,IF(LEFT(UPPER(TRIM(D48)),6)="STRING",VALUE(TRIM(RIGHT(B47,LEN(B47)-FIND("-",B47))))+VALUE(MID(UPPER(TRIM(D48)),FIND("[",UPPER(TRIM(D48)))+1,FIND("]",UPPER(TRIM(D48)))-FIND("[",UPPER(TRIM(D48)))-1)),"类型错误")))))),"格式错误")</f>
        <v>12-12</v>
      </c>
      <c r="C48" s="3" t="s">
        <v>70</v>
      </c>
      <c r="D48" s="3" t="s">
        <v>120</v>
      </c>
      <c r="E48" s="4" t="s">
        <v>148</v>
      </c>
      <c r="F48" s="19" t="s">
        <v>149</v>
      </c>
      <c r="G48" s="19" t="s">
        <v>149</v>
      </c>
      <c r="H48" s="19" t="s">
        <v>149</v>
      </c>
      <c r="I48" s="33" t="s">
        <v>150</v>
      </c>
      <c r="J48" s="34"/>
      <c r="K48" s="34"/>
      <c r="L48" s="35"/>
      <c r="M48" s="33" t="s">
        <v>151</v>
      </c>
      <c r="N48" s="34"/>
      <c r="O48" s="34"/>
      <c r="P48" s="35"/>
      <c r="Q48" s="2" t="s">
        <v>32</v>
      </c>
    </row>
    <row r="49" spans="1:18" ht="27.75" customHeight="1" x14ac:dyDescent="0.25">
      <c r="A49" s="3">
        <v>44</v>
      </c>
      <c r="B49" s="9" t="str">
        <f t="shared" si="1"/>
        <v>13-13</v>
      </c>
      <c r="C49" s="3" t="s">
        <v>70</v>
      </c>
      <c r="D49" s="3" t="s">
        <v>120</v>
      </c>
      <c r="E49" s="4" t="s">
        <v>152</v>
      </c>
      <c r="F49" s="19" t="s">
        <v>153</v>
      </c>
      <c r="G49" s="19" t="s">
        <v>153</v>
      </c>
      <c r="H49" s="19" t="s">
        <v>153</v>
      </c>
      <c r="I49" s="33" t="s">
        <v>154</v>
      </c>
      <c r="J49" s="34"/>
      <c r="K49" s="34"/>
      <c r="L49" s="35"/>
      <c r="M49" s="77"/>
      <c r="N49" s="78"/>
      <c r="O49" s="78"/>
      <c r="P49" s="79"/>
      <c r="Q49" s="2" t="s">
        <v>32</v>
      </c>
    </row>
    <row r="50" spans="1:18" ht="27.75" customHeight="1" x14ac:dyDescent="0.25">
      <c r="A50" s="3">
        <v>45</v>
      </c>
      <c r="B50" s="9" t="str">
        <f t="shared" si="1"/>
        <v>14-14</v>
      </c>
      <c r="C50" s="3" t="s">
        <v>70</v>
      </c>
      <c r="D50" s="3" t="s">
        <v>120</v>
      </c>
      <c r="E50" s="4" t="s">
        <v>155</v>
      </c>
      <c r="F50" s="19" t="s">
        <v>156</v>
      </c>
      <c r="G50" s="19" t="s">
        <v>156</v>
      </c>
      <c r="H50" s="19" t="s">
        <v>156</v>
      </c>
      <c r="I50" s="33" t="s">
        <v>157</v>
      </c>
      <c r="J50" s="34"/>
      <c r="K50" s="34"/>
      <c r="L50" s="35"/>
      <c r="M50" s="33" t="s">
        <v>158</v>
      </c>
      <c r="N50" s="34"/>
      <c r="O50" s="34"/>
      <c r="P50" s="35"/>
      <c r="Q50" s="2" t="s">
        <v>32</v>
      </c>
    </row>
    <row r="51" spans="1:18" ht="27.75" customHeight="1" x14ac:dyDescent="0.25">
      <c r="A51" s="3">
        <v>46</v>
      </c>
      <c r="B51" s="9" t="str">
        <f t="shared" si="1"/>
        <v>15-15</v>
      </c>
      <c r="C51" s="3" t="s">
        <v>70</v>
      </c>
      <c r="D51" s="3" t="s">
        <v>120</v>
      </c>
      <c r="E51" s="4" t="s">
        <v>159</v>
      </c>
      <c r="F51" s="19" t="s">
        <v>160</v>
      </c>
      <c r="G51" s="19" t="s">
        <v>160</v>
      </c>
      <c r="H51" s="19" t="s">
        <v>160</v>
      </c>
      <c r="I51" s="77"/>
      <c r="J51" s="78"/>
      <c r="K51" s="78"/>
      <c r="L51" s="79"/>
      <c r="M51" s="77"/>
      <c r="N51" s="78"/>
      <c r="O51" s="78"/>
      <c r="P51" s="79"/>
      <c r="Q51" s="2" t="s">
        <v>32</v>
      </c>
    </row>
    <row r="52" spans="1:18" ht="27.75" customHeight="1" x14ac:dyDescent="0.25">
      <c r="A52" s="3">
        <v>47</v>
      </c>
      <c r="B52" s="9" t="str">
        <f t="shared" si="1"/>
        <v>16-16</v>
      </c>
      <c r="C52" s="3" t="s">
        <v>70</v>
      </c>
      <c r="D52" s="3" t="s">
        <v>120</v>
      </c>
      <c r="E52" s="4" t="s">
        <v>161</v>
      </c>
      <c r="F52" s="19" t="s">
        <v>162</v>
      </c>
      <c r="G52" s="19" t="s">
        <v>162</v>
      </c>
      <c r="H52" s="19" t="s">
        <v>162</v>
      </c>
      <c r="I52" s="33" t="s">
        <v>163</v>
      </c>
      <c r="J52" s="34"/>
      <c r="K52" s="34"/>
      <c r="L52" s="35"/>
      <c r="M52" s="33" t="s">
        <v>164</v>
      </c>
      <c r="N52" s="34"/>
      <c r="O52" s="34"/>
      <c r="P52" s="35"/>
      <c r="Q52" s="2" t="s">
        <v>32</v>
      </c>
    </row>
    <row r="53" spans="1:18" ht="27.75" customHeight="1" x14ac:dyDescent="0.25">
      <c r="A53" s="3">
        <v>48</v>
      </c>
      <c r="B53" s="9" t="str">
        <f t="shared" si="1"/>
        <v>17-17</v>
      </c>
      <c r="C53" s="3" t="s">
        <v>70</v>
      </c>
      <c r="D53" s="3" t="s">
        <v>120</v>
      </c>
      <c r="E53" s="4" t="s">
        <v>165</v>
      </c>
      <c r="F53" s="19" t="s">
        <v>166</v>
      </c>
      <c r="G53" s="19" t="s">
        <v>166</v>
      </c>
      <c r="H53" s="19" t="s">
        <v>166</v>
      </c>
      <c r="I53" s="77"/>
      <c r="J53" s="78"/>
      <c r="K53" s="78"/>
      <c r="L53" s="79"/>
      <c r="M53" s="77"/>
      <c r="N53" s="78"/>
      <c r="O53" s="78"/>
      <c r="P53" s="79"/>
      <c r="Q53" s="2" t="s">
        <v>32</v>
      </c>
    </row>
    <row r="54" spans="1:18" ht="27.75" customHeight="1" x14ac:dyDescent="0.25">
      <c r="A54" s="3">
        <v>49</v>
      </c>
      <c r="B54" s="9" t="str">
        <f t="shared" si="1"/>
        <v>18-18</v>
      </c>
      <c r="C54" s="3" t="s">
        <v>70</v>
      </c>
      <c r="D54" s="3" t="s">
        <v>120</v>
      </c>
      <c r="E54" s="4" t="s">
        <v>167</v>
      </c>
      <c r="F54" s="19" t="s">
        <v>168</v>
      </c>
      <c r="G54" s="19" t="s">
        <v>168</v>
      </c>
      <c r="H54" s="19" t="s">
        <v>168</v>
      </c>
      <c r="I54" s="33" t="s">
        <v>169</v>
      </c>
      <c r="J54" s="34"/>
      <c r="K54" s="34"/>
      <c r="L54" s="35"/>
      <c r="M54" s="33" t="s">
        <v>170</v>
      </c>
      <c r="N54" s="34"/>
      <c r="O54" s="34"/>
      <c r="P54" s="35"/>
      <c r="Q54" s="2" t="s">
        <v>32</v>
      </c>
    </row>
    <row r="55" spans="1:18" ht="27.75" customHeight="1" x14ac:dyDescent="0.25">
      <c r="A55" s="3">
        <v>50</v>
      </c>
      <c r="B55" s="9" t="str">
        <f t="shared" si="1"/>
        <v>19-19</v>
      </c>
      <c r="C55" s="3" t="s">
        <v>70</v>
      </c>
      <c r="D55" s="3" t="s">
        <v>120</v>
      </c>
      <c r="E55" s="4" t="s">
        <v>171</v>
      </c>
      <c r="F55" s="19" t="s">
        <v>172</v>
      </c>
      <c r="G55" s="19" t="s">
        <v>172</v>
      </c>
      <c r="H55" s="19" t="s">
        <v>172</v>
      </c>
      <c r="I55" s="77"/>
      <c r="J55" s="78"/>
      <c r="K55" s="78"/>
      <c r="L55" s="79"/>
      <c r="M55" s="77"/>
      <c r="N55" s="78"/>
      <c r="O55" s="78"/>
      <c r="P55" s="79"/>
      <c r="Q55" s="2" t="s">
        <v>32</v>
      </c>
    </row>
    <row r="56" spans="1:18" ht="34.75" customHeight="1" x14ac:dyDescent="0.25">
      <c r="A56" s="3">
        <v>51</v>
      </c>
      <c r="B56" s="9" t="str">
        <f t="shared" si="1"/>
        <v>20-20</v>
      </c>
      <c r="C56" s="3" t="s">
        <v>70</v>
      </c>
      <c r="D56" s="3" t="s">
        <v>120</v>
      </c>
      <c r="E56" s="4" t="s">
        <v>173</v>
      </c>
      <c r="F56" s="22" t="s">
        <v>174</v>
      </c>
      <c r="G56" s="22" t="s">
        <v>168</v>
      </c>
      <c r="H56" s="22" t="s">
        <v>168</v>
      </c>
      <c r="I56" s="59" t="s">
        <v>169</v>
      </c>
      <c r="J56" s="60"/>
      <c r="K56" s="60"/>
      <c r="L56" s="61"/>
      <c r="M56" s="33" t="s">
        <v>70</v>
      </c>
      <c r="N56" s="34"/>
      <c r="O56" s="34"/>
      <c r="P56" s="35"/>
      <c r="Q56" s="2" t="s">
        <v>32</v>
      </c>
    </row>
    <row r="57" spans="1:18" ht="34.75" customHeight="1" x14ac:dyDescent="0.25">
      <c r="A57" s="3">
        <v>52</v>
      </c>
      <c r="B57" s="9" t="str">
        <f t="shared" si="1"/>
        <v>21-21</v>
      </c>
      <c r="C57" s="3" t="s">
        <v>70</v>
      </c>
      <c r="D57" s="3" t="s">
        <v>120</v>
      </c>
      <c r="E57" s="4" t="s">
        <v>175</v>
      </c>
      <c r="F57" s="22" t="s">
        <v>176</v>
      </c>
      <c r="G57" s="22" t="s">
        <v>172</v>
      </c>
      <c r="H57" s="22" t="s">
        <v>172</v>
      </c>
      <c r="I57" s="65"/>
      <c r="J57" s="66"/>
      <c r="K57" s="66"/>
      <c r="L57" s="67"/>
      <c r="M57" s="77"/>
      <c r="N57" s="78"/>
      <c r="O57" s="78"/>
      <c r="P57" s="79"/>
      <c r="Q57" s="2" t="s">
        <v>32</v>
      </c>
    </row>
    <row r="58" spans="1:18" ht="29" customHeight="1" x14ac:dyDescent="0.25">
      <c r="A58" s="3">
        <v>53</v>
      </c>
      <c r="B58" s="9" t="str">
        <f t="shared" si="1"/>
        <v>22-22</v>
      </c>
      <c r="C58" s="3" t="s">
        <v>70</v>
      </c>
      <c r="D58" s="3" t="s">
        <v>120</v>
      </c>
      <c r="E58" s="4" t="s">
        <v>177</v>
      </c>
      <c r="F58" s="19" t="s">
        <v>178</v>
      </c>
      <c r="G58" s="19" t="s">
        <v>178</v>
      </c>
      <c r="H58" s="19" t="s">
        <v>178</v>
      </c>
      <c r="I58" s="36" t="s">
        <v>179</v>
      </c>
      <c r="J58" s="37"/>
      <c r="K58" s="37"/>
      <c r="L58" s="38"/>
      <c r="M58" s="36" t="s">
        <v>180</v>
      </c>
      <c r="N58" s="37"/>
      <c r="O58" s="37"/>
      <c r="P58" s="38"/>
      <c r="Q58" s="2" t="s">
        <v>32</v>
      </c>
    </row>
    <row r="59" spans="1:18" ht="29" customHeight="1" x14ac:dyDescent="0.25">
      <c r="A59" s="3">
        <v>54</v>
      </c>
      <c r="B59" s="9" t="str">
        <f t="shared" si="1"/>
        <v>23-23</v>
      </c>
      <c r="C59" s="3" t="s">
        <v>70</v>
      </c>
      <c r="D59" s="3" t="s">
        <v>120</v>
      </c>
      <c r="E59" s="4" t="s">
        <v>181</v>
      </c>
      <c r="F59" s="19" t="s">
        <v>182</v>
      </c>
      <c r="G59" s="19"/>
      <c r="H59" s="19"/>
      <c r="I59" s="33" t="s">
        <v>183</v>
      </c>
      <c r="J59" s="34"/>
      <c r="K59" s="34"/>
      <c r="L59" s="35"/>
      <c r="M59" s="33" t="s">
        <v>184</v>
      </c>
      <c r="N59" s="34"/>
      <c r="O59" s="34"/>
      <c r="P59" s="35"/>
      <c r="Q59" s="2" t="s">
        <v>32</v>
      </c>
    </row>
    <row r="60" spans="1:18" ht="27" customHeight="1" x14ac:dyDescent="0.25">
      <c r="A60" s="3">
        <v>55</v>
      </c>
      <c r="B60" s="9" t="str">
        <f t="shared" si="1"/>
        <v>24-24</v>
      </c>
      <c r="C60" s="3" t="s">
        <v>70</v>
      </c>
      <c r="D60" s="3" t="s">
        <v>120</v>
      </c>
      <c r="E60" s="4" t="s">
        <v>185</v>
      </c>
      <c r="F60" s="19" t="s">
        <v>186</v>
      </c>
      <c r="G60" s="19"/>
      <c r="H60" s="19"/>
      <c r="I60" s="77"/>
      <c r="J60" s="78"/>
      <c r="K60" s="78"/>
      <c r="L60" s="79"/>
      <c r="M60" s="77"/>
      <c r="N60" s="78"/>
      <c r="O60" s="78"/>
      <c r="P60" s="79"/>
      <c r="Q60" s="2" t="s">
        <v>32</v>
      </c>
    </row>
    <row r="61" spans="1:18" ht="34.75" customHeight="1" x14ac:dyDescent="0.25">
      <c r="A61" s="3">
        <v>56</v>
      </c>
      <c r="B61" s="9" t="str">
        <f t="shared" si="1"/>
        <v>25-26</v>
      </c>
      <c r="C61" s="3" t="s">
        <v>70</v>
      </c>
      <c r="D61" s="3" t="s">
        <v>187</v>
      </c>
      <c r="E61" s="4" t="s">
        <v>188</v>
      </c>
      <c r="F61" s="19" t="s">
        <v>189</v>
      </c>
      <c r="G61" s="19"/>
      <c r="H61" s="19"/>
      <c r="I61" s="19" t="s">
        <v>70</v>
      </c>
      <c r="J61" s="19"/>
      <c r="K61" s="19"/>
      <c r="L61" s="19"/>
      <c r="M61" s="19" t="s">
        <v>190</v>
      </c>
      <c r="N61" s="19"/>
      <c r="O61" s="19"/>
      <c r="P61" s="19"/>
      <c r="Q61" s="2" t="s">
        <v>32</v>
      </c>
    </row>
    <row r="62" spans="1:18" ht="39" customHeight="1" x14ac:dyDescent="0.25">
      <c r="A62" s="3">
        <v>57</v>
      </c>
      <c r="B62" s="9" t="str">
        <f t="shared" si="1"/>
        <v>27-28</v>
      </c>
      <c r="C62" s="3" t="s">
        <v>70</v>
      </c>
      <c r="D62" s="3" t="s">
        <v>187</v>
      </c>
      <c r="E62" s="4" t="s">
        <v>191</v>
      </c>
      <c r="F62" s="33" t="s">
        <v>192</v>
      </c>
      <c r="G62" s="34"/>
      <c r="H62" s="35"/>
      <c r="I62" s="19" t="s">
        <v>70</v>
      </c>
      <c r="J62" s="19"/>
      <c r="K62" s="19"/>
      <c r="L62" s="19"/>
      <c r="M62" s="19" t="s">
        <v>190</v>
      </c>
      <c r="N62" s="19"/>
      <c r="O62" s="19"/>
      <c r="P62" s="19"/>
      <c r="Q62" s="2" t="s">
        <v>32</v>
      </c>
    </row>
    <row r="63" spans="1:18" ht="33" customHeight="1" x14ac:dyDescent="0.25">
      <c r="A63" s="3">
        <v>58</v>
      </c>
      <c r="B63" s="9" t="str">
        <f t="shared" si="1"/>
        <v>29-30</v>
      </c>
      <c r="C63" s="3" t="s">
        <v>70</v>
      </c>
      <c r="D63" s="3" t="s">
        <v>187</v>
      </c>
      <c r="E63" s="4" t="s">
        <v>193</v>
      </c>
      <c r="F63" s="39" t="s">
        <v>194</v>
      </c>
      <c r="G63" s="39"/>
      <c r="H63" s="39"/>
      <c r="I63" s="39" t="s">
        <v>195</v>
      </c>
      <c r="J63" s="39"/>
      <c r="K63" s="39"/>
      <c r="L63" s="39"/>
      <c r="M63" s="33" t="s">
        <v>196</v>
      </c>
      <c r="N63" s="34"/>
      <c r="O63" s="34"/>
      <c r="P63" s="35"/>
      <c r="Q63" s="12" t="s">
        <v>32</v>
      </c>
      <c r="R63" s="2" t="s">
        <v>197</v>
      </c>
    </row>
    <row r="64" spans="1:18" ht="31" customHeight="1" x14ac:dyDescent="0.25">
      <c r="A64" s="3">
        <v>59</v>
      </c>
      <c r="B64" s="9" t="str">
        <f t="shared" si="1"/>
        <v>31-32</v>
      </c>
      <c r="C64" s="3" t="s">
        <v>70</v>
      </c>
      <c r="D64" s="3" t="s">
        <v>187</v>
      </c>
      <c r="E64" s="4" t="s">
        <v>198</v>
      </c>
      <c r="F64" s="39" t="s">
        <v>199</v>
      </c>
      <c r="G64" s="39"/>
      <c r="H64" s="39"/>
      <c r="I64" s="39" t="s">
        <v>200</v>
      </c>
      <c r="J64" s="39"/>
      <c r="K64" s="39"/>
      <c r="L64" s="39"/>
      <c r="M64" s="75"/>
      <c r="N64" s="52"/>
      <c r="O64" s="52"/>
      <c r="P64" s="76"/>
      <c r="Q64" s="12" t="s">
        <v>32</v>
      </c>
      <c r="R64" s="2" t="s">
        <v>201</v>
      </c>
    </row>
    <row r="65" spans="1:18" ht="27.75" customHeight="1" x14ac:dyDescent="0.25">
      <c r="A65" s="3">
        <v>60</v>
      </c>
      <c r="B65" s="9" t="str">
        <f t="shared" si="1"/>
        <v>33-34</v>
      </c>
      <c r="C65" s="3" t="s">
        <v>70</v>
      </c>
      <c r="D65" s="3" t="s">
        <v>187</v>
      </c>
      <c r="E65" s="4" t="s">
        <v>202</v>
      </c>
      <c r="F65" s="39" t="s">
        <v>203</v>
      </c>
      <c r="G65" s="39"/>
      <c r="H65" s="39"/>
      <c r="I65" s="39" t="s">
        <v>204</v>
      </c>
      <c r="J65" s="39"/>
      <c r="K65" s="39"/>
      <c r="L65" s="39"/>
      <c r="M65" s="75"/>
      <c r="N65" s="52"/>
      <c r="O65" s="52"/>
      <c r="P65" s="76"/>
      <c r="Q65" s="12" t="s">
        <v>32</v>
      </c>
      <c r="R65" s="13"/>
    </row>
    <row r="66" spans="1:18" ht="27.75" customHeight="1" x14ac:dyDescent="0.25">
      <c r="A66" s="3">
        <v>61</v>
      </c>
      <c r="B66" s="9" t="str">
        <f t="shared" si="1"/>
        <v>35-36</v>
      </c>
      <c r="C66" s="3" t="s">
        <v>70</v>
      </c>
      <c r="D66" s="3" t="s">
        <v>187</v>
      </c>
      <c r="E66" s="4" t="s">
        <v>205</v>
      </c>
      <c r="F66" s="39" t="s">
        <v>206</v>
      </c>
      <c r="G66" s="39"/>
      <c r="H66" s="39"/>
      <c r="I66" s="39" t="s">
        <v>207</v>
      </c>
      <c r="J66" s="39"/>
      <c r="K66" s="39"/>
      <c r="L66" s="39"/>
      <c r="M66" s="75"/>
      <c r="N66" s="52"/>
      <c r="O66" s="52"/>
      <c r="P66" s="76"/>
      <c r="Q66" s="12" t="s">
        <v>32</v>
      </c>
      <c r="R66" s="13"/>
    </row>
    <row r="67" spans="1:18" ht="30" customHeight="1" x14ac:dyDescent="0.25">
      <c r="A67" s="3">
        <v>62</v>
      </c>
      <c r="B67" s="9" t="str">
        <f t="shared" si="1"/>
        <v>37-38</v>
      </c>
      <c r="C67" s="3" t="s">
        <v>70</v>
      </c>
      <c r="D67" s="3" t="s">
        <v>187</v>
      </c>
      <c r="E67" s="4" t="s">
        <v>208</v>
      </c>
      <c r="F67" s="19" t="s">
        <v>89</v>
      </c>
      <c r="G67" s="19"/>
      <c r="H67" s="19"/>
      <c r="I67" s="19" t="s">
        <v>70</v>
      </c>
      <c r="J67" s="19"/>
      <c r="K67" s="19"/>
      <c r="L67" s="19"/>
      <c r="M67" s="77"/>
      <c r="N67" s="78"/>
      <c r="O67" s="78"/>
      <c r="P67" s="79"/>
      <c r="Q67" s="12" t="s">
        <v>32</v>
      </c>
      <c r="R67" s="13"/>
    </row>
    <row r="68" spans="1:18" ht="28" customHeight="1" x14ac:dyDescent="0.25">
      <c r="A68" s="3">
        <v>63</v>
      </c>
      <c r="B68" s="9" t="str">
        <f t="shared" si="1"/>
        <v>39-40</v>
      </c>
      <c r="C68" s="3" t="s">
        <v>70</v>
      </c>
      <c r="D68" s="3" t="s">
        <v>187</v>
      </c>
      <c r="E68" s="4" t="s">
        <v>209</v>
      </c>
      <c r="F68" s="19" t="s">
        <v>89</v>
      </c>
      <c r="G68" s="19"/>
      <c r="H68" s="19"/>
      <c r="I68" s="19" t="s">
        <v>70</v>
      </c>
      <c r="J68" s="19"/>
      <c r="K68" s="19"/>
      <c r="L68" s="19"/>
      <c r="M68" s="33"/>
      <c r="N68" s="34"/>
      <c r="O68" s="34"/>
      <c r="P68" s="35"/>
      <c r="Q68" s="12" t="s">
        <v>32</v>
      </c>
      <c r="R68" s="13"/>
    </row>
    <row r="69" spans="1:18" ht="28" customHeight="1" x14ac:dyDescent="0.25">
      <c r="A69" s="3">
        <v>64</v>
      </c>
      <c r="B69" s="9" t="str">
        <f t="shared" si="1"/>
        <v>41-42</v>
      </c>
      <c r="C69" s="3" t="s">
        <v>70</v>
      </c>
      <c r="D69" s="3" t="s">
        <v>187</v>
      </c>
      <c r="E69" s="4" t="s">
        <v>210</v>
      </c>
      <c r="F69" s="19" t="s">
        <v>89</v>
      </c>
      <c r="G69" s="19"/>
      <c r="H69" s="19"/>
      <c r="I69" s="19" t="s">
        <v>70</v>
      </c>
      <c r="J69" s="19"/>
      <c r="K69" s="19"/>
      <c r="L69" s="19"/>
      <c r="M69" s="75"/>
      <c r="N69" s="52"/>
      <c r="O69" s="52"/>
      <c r="P69" s="76"/>
      <c r="Q69" s="12" t="s">
        <v>32</v>
      </c>
      <c r="R69" s="13"/>
    </row>
    <row r="70" spans="1:18" ht="27.75" customHeight="1" x14ac:dyDescent="0.25">
      <c r="A70" s="3">
        <v>65</v>
      </c>
      <c r="B70" s="9" t="str">
        <f t="shared" si="1"/>
        <v>43-44</v>
      </c>
      <c r="C70" s="3" t="s">
        <v>70</v>
      </c>
      <c r="D70" s="3" t="s">
        <v>187</v>
      </c>
      <c r="E70" s="4" t="s">
        <v>211</v>
      </c>
      <c r="F70" s="19" t="s">
        <v>89</v>
      </c>
      <c r="G70" s="19"/>
      <c r="H70" s="19"/>
      <c r="I70" s="19" t="s">
        <v>70</v>
      </c>
      <c r="J70" s="19"/>
      <c r="K70" s="19"/>
      <c r="L70" s="19"/>
      <c r="M70" s="75"/>
      <c r="N70" s="52"/>
      <c r="O70" s="52"/>
      <c r="P70" s="76"/>
      <c r="Q70" s="12" t="s">
        <v>32</v>
      </c>
      <c r="R70" s="13"/>
    </row>
    <row r="71" spans="1:18" ht="27.75" customHeight="1" x14ac:dyDescent="0.25">
      <c r="A71" s="3">
        <v>66</v>
      </c>
      <c r="B71" s="9" t="str">
        <f t="shared" si="1"/>
        <v>45-46</v>
      </c>
      <c r="C71" s="3" t="s">
        <v>70</v>
      </c>
      <c r="D71" s="3" t="s">
        <v>187</v>
      </c>
      <c r="E71" s="4" t="s">
        <v>212</v>
      </c>
      <c r="F71" s="19" t="s">
        <v>89</v>
      </c>
      <c r="G71" s="19"/>
      <c r="H71" s="19"/>
      <c r="I71" s="19" t="s">
        <v>70</v>
      </c>
      <c r="J71" s="19"/>
      <c r="K71" s="19"/>
      <c r="L71" s="19"/>
      <c r="M71" s="75"/>
      <c r="N71" s="52"/>
      <c r="O71" s="52"/>
      <c r="P71" s="76"/>
      <c r="Q71" s="12" t="s">
        <v>32</v>
      </c>
      <c r="R71" s="13"/>
    </row>
    <row r="72" spans="1:18" ht="27.75" customHeight="1" x14ac:dyDescent="0.25">
      <c r="A72" s="3">
        <v>67</v>
      </c>
      <c r="B72" s="9" t="str">
        <f t="shared" si="1"/>
        <v>47-48</v>
      </c>
      <c r="C72" s="3" t="s">
        <v>70</v>
      </c>
      <c r="D72" s="3" t="s">
        <v>187</v>
      </c>
      <c r="E72" s="4" t="s">
        <v>213</v>
      </c>
      <c r="F72" s="19" t="s">
        <v>89</v>
      </c>
      <c r="G72" s="19"/>
      <c r="H72" s="19"/>
      <c r="I72" s="22" t="s">
        <v>70</v>
      </c>
      <c r="J72" s="22"/>
      <c r="K72" s="22"/>
      <c r="L72" s="22"/>
      <c r="M72" s="77"/>
      <c r="N72" s="78"/>
      <c r="O72" s="78"/>
      <c r="P72" s="79"/>
      <c r="Q72" s="12" t="s">
        <v>32</v>
      </c>
      <c r="R72" s="13"/>
    </row>
    <row r="73" spans="1:18" ht="27.75" customHeight="1" x14ac:dyDescent="0.25">
      <c r="A73" s="3">
        <v>68</v>
      </c>
      <c r="B73" s="9" t="str">
        <f t="shared" si="1"/>
        <v>49-49</v>
      </c>
      <c r="C73" s="3" t="s">
        <v>70</v>
      </c>
      <c r="D73" s="3" t="s">
        <v>120</v>
      </c>
      <c r="E73" s="4" t="s">
        <v>214</v>
      </c>
      <c r="F73" s="19" t="s">
        <v>215</v>
      </c>
      <c r="G73" s="19"/>
      <c r="H73" s="19"/>
      <c r="I73" s="19" t="s">
        <v>70</v>
      </c>
      <c r="J73" s="19"/>
      <c r="K73" s="19"/>
      <c r="L73" s="19"/>
      <c r="M73" s="19" t="s">
        <v>216</v>
      </c>
      <c r="N73" s="19"/>
      <c r="O73" s="19"/>
      <c r="P73" s="19"/>
      <c r="Q73" s="2" t="s">
        <v>32</v>
      </c>
    </row>
    <row r="74" spans="1:18" ht="27.75" customHeight="1" x14ac:dyDescent="0.25">
      <c r="A74" s="3">
        <v>69</v>
      </c>
      <c r="B74" s="9" t="str">
        <f t="shared" si="1"/>
        <v>50-50</v>
      </c>
      <c r="C74" s="3" t="s">
        <v>70</v>
      </c>
      <c r="D74" s="3" t="s">
        <v>120</v>
      </c>
      <c r="E74" s="4" t="s">
        <v>217</v>
      </c>
      <c r="F74" s="19" t="s">
        <v>218</v>
      </c>
      <c r="G74" s="19"/>
      <c r="H74" s="19"/>
      <c r="I74" s="19" t="s">
        <v>70</v>
      </c>
      <c r="J74" s="19"/>
      <c r="K74" s="19"/>
      <c r="L74" s="19"/>
      <c r="M74" s="19" t="s">
        <v>219</v>
      </c>
      <c r="N74" s="19"/>
      <c r="O74" s="19"/>
      <c r="P74" s="19"/>
      <c r="Q74" s="2" t="s">
        <v>32</v>
      </c>
    </row>
    <row r="75" spans="1:18" ht="27.75" customHeight="1" x14ac:dyDescent="0.25">
      <c r="A75" s="3">
        <v>70</v>
      </c>
      <c r="B75" s="9" t="str">
        <f t="shared" si="1"/>
        <v>51-51</v>
      </c>
      <c r="C75" s="3" t="s">
        <v>70</v>
      </c>
      <c r="D75" s="3" t="s">
        <v>120</v>
      </c>
      <c r="E75" s="4" t="s">
        <v>220</v>
      </c>
      <c r="F75" s="19" t="s">
        <v>221</v>
      </c>
      <c r="G75" s="19"/>
      <c r="H75" s="19"/>
      <c r="I75" s="19" t="s">
        <v>70</v>
      </c>
      <c r="J75" s="19"/>
      <c r="K75" s="19"/>
      <c r="L75" s="19"/>
      <c r="M75" s="19" t="s">
        <v>222</v>
      </c>
      <c r="N75" s="19"/>
      <c r="O75" s="19"/>
      <c r="P75" s="19"/>
      <c r="Q75" s="2" t="s">
        <v>32</v>
      </c>
    </row>
    <row r="76" spans="1:18" ht="27.75" customHeight="1" x14ac:dyDescent="0.25">
      <c r="A76" s="3">
        <v>71</v>
      </c>
      <c r="B76" s="9" t="str">
        <f t="shared" si="1"/>
        <v>52-52</v>
      </c>
      <c r="C76" s="3" t="s">
        <v>70</v>
      </c>
      <c r="D76" s="3" t="s">
        <v>120</v>
      </c>
      <c r="E76" s="4" t="s">
        <v>223</v>
      </c>
      <c r="F76" s="19" t="s">
        <v>224</v>
      </c>
      <c r="G76" s="19"/>
      <c r="H76" s="19"/>
      <c r="I76" s="19" t="s">
        <v>70</v>
      </c>
      <c r="J76" s="19"/>
      <c r="K76" s="19"/>
      <c r="L76" s="19"/>
      <c r="M76" s="19" t="s">
        <v>225</v>
      </c>
      <c r="N76" s="19"/>
      <c r="O76" s="19"/>
      <c r="P76" s="19"/>
      <c r="Q76" s="2" t="s">
        <v>32</v>
      </c>
    </row>
    <row r="77" spans="1:18" ht="27.75" customHeight="1" x14ac:dyDescent="0.25">
      <c r="A77" s="3">
        <v>72</v>
      </c>
      <c r="B77" s="9" t="str">
        <f t="shared" si="1"/>
        <v>53-53</v>
      </c>
      <c r="C77" s="3" t="s">
        <v>70</v>
      </c>
      <c r="D77" s="3" t="s">
        <v>120</v>
      </c>
      <c r="E77" s="4" t="s">
        <v>226</v>
      </c>
      <c r="F77" s="19" t="s">
        <v>227</v>
      </c>
      <c r="G77" s="19"/>
      <c r="H77" s="19"/>
      <c r="I77" s="19" t="s">
        <v>70</v>
      </c>
      <c r="J77" s="19"/>
      <c r="K77" s="19"/>
      <c r="L77" s="19"/>
      <c r="M77" s="19" t="s">
        <v>228</v>
      </c>
      <c r="N77" s="19"/>
      <c r="O77" s="19"/>
      <c r="P77" s="19"/>
      <c r="Q77" s="2" t="s">
        <v>32</v>
      </c>
    </row>
    <row r="78" spans="1:18" ht="27.75" customHeight="1" x14ac:dyDescent="0.25">
      <c r="A78" s="3">
        <v>73</v>
      </c>
      <c r="B78" s="9" t="str">
        <f t="shared" si="1"/>
        <v>54-54</v>
      </c>
      <c r="C78" s="3" t="s">
        <v>70</v>
      </c>
      <c r="D78" s="3" t="s">
        <v>120</v>
      </c>
      <c r="E78" s="4" t="s">
        <v>229</v>
      </c>
      <c r="F78" s="19" t="s">
        <v>230</v>
      </c>
      <c r="G78" s="19"/>
      <c r="H78" s="19"/>
      <c r="I78" s="19" t="s">
        <v>70</v>
      </c>
      <c r="J78" s="19"/>
      <c r="K78" s="19"/>
      <c r="L78" s="19"/>
      <c r="M78" s="19" t="s">
        <v>231</v>
      </c>
      <c r="N78" s="19"/>
      <c r="O78" s="19"/>
      <c r="P78" s="19"/>
      <c r="Q78" s="2" t="s">
        <v>32</v>
      </c>
    </row>
    <row r="79" spans="1:18" ht="27.75" customHeight="1" x14ac:dyDescent="0.25">
      <c r="A79" s="3">
        <v>74</v>
      </c>
      <c r="B79" s="9" t="str">
        <f t="shared" si="1"/>
        <v>55-55</v>
      </c>
      <c r="C79" s="3" t="s">
        <v>70</v>
      </c>
      <c r="D79" s="3" t="s">
        <v>120</v>
      </c>
      <c r="E79" s="4" t="s">
        <v>232</v>
      </c>
      <c r="F79" s="19" t="s">
        <v>233</v>
      </c>
      <c r="G79" s="19"/>
      <c r="H79" s="19"/>
      <c r="I79" s="19" t="s">
        <v>70</v>
      </c>
      <c r="J79" s="19"/>
      <c r="K79" s="19"/>
      <c r="L79" s="19"/>
      <c r="M79" s="19" t="s">
        <v>234</v>
      </c>
      <c r="N79" s="19"/>
      <c r="O79" s="19"/>
      <c r="P79" s="19"/>
      <c r="Q79" s="2" t="s">
        <v>32</v>
      </c>
    </row>
    <row r="80" spans="1:18" ht="27.75" customHeight="1" x14ac:dyDescent="0.25">
      <c r="A80" s="3">
        <v>75</v>
      </c>
      <c r="B80" s="9" t="str">
        <f t="shared" si="1"/>
        <v>56-56</v>
      </c>
      <c r="C80" s="3" t="s">
        <v>70</v>
      </c>
      <c r="D80" s="3" t="s">
        <v>120</v>
      </c>
      <c r="E80" s="4" t="s">
        <v>235</v>
      </c>
      <c r="F80" s="19" t="s">
        <v>236</v>
      </c>
      <c r="G80" s="19"/>
      <c r="H80" s="19"/>
      <c r="I80" s="19" t="s">
        <v>70</v>
      </c>
      <c r="J80" s="19"/>
      <c r="K80" s="19"/>
      <c r="L80" s="19"/>
      <c r="M80" s="19" t="s">
        <v>237</v>
      </c>
      <c r="N80" s="19"/>
      <c r="O80" s="19"/>
      <c r="P80" s="19"/>
      <c r="Q80" s="2" t="s">
        <v>32</v>
      </c>
    </row>
    <row r="81" spans="1:17" ht="27.75" customHeight="1" x14ac:dyDescent="0.25">
      <c r="A81" s="3">
        <v>76</v>
      </c>
      <c r="B81" s="9" t="str">
        <f t="shared" si="1"/>
        <v>57-57</v>
      </c>
      <c r="C81" s="3" t="s">
        <v>70</v>
      </c>
      <c r="D81" s="3" t="s">
        <v>120</v>
      </c>
      <c r="E81" s="4" t="s">
        <v>238</v>
      </c>
      <c r="F81" s="19" t="s">
        <v>239</v>
      </c>
      <c r="G81" s="19"/>
      <c r="H81" s="19"/>
      <c r="I81" s="19" t="s">
        <v>70</v>
      </c>
      <c r="J81" s="19"/>
      <c r="K81" s="19"/>
      <c r="L81" s="19"/>
      <c r="M81" s="19" t="s">
        <v>240</v>
      </c>
      <c r="N81" s="19"/>
      <c r="O81" s="19"/>
      <c r="P81" s="19"/>
      <c r="Q81" s="2" t="s">
        <v>32</v>
      </c>
    </row>
    <row r="82" spans="1:17" ht="27.75" customHeight="1" x14ac:dyDescent="0.25">
      <c r="A82" s="3">
        <v>77</v>
      </c>
      <c r="B82" s="9" t="str">
        <f t="shared" si="1"/>
        <v>58-58</v>
      </c>
      <c r="C82" s="3" t="s">
        <v>70</v>
      </c>
      <c r="D82" s="3" t="s">
        <v>120</v>
      </c>
      <c r="E82" s="4" t="s">
        <v>241</v>
      </c>
      <c r="F82" s="19" t="s">
        <v>242</v>
      </c>
      <c r="G82" s="19"/>
      <c r="H82" s="19"/>
      <c r="I82" s="19" t="s">
        <v>70</v>
      </c>
      <c r="J82" s="19"/>
      <c r="K82" s="19"/>
      <c r="L82" s="19"/>
      <c r="M82" s="19" t="s">
        <v>243</v>
      </c>
      <c r="N82" s="19"/>
      <c r="O82" s="19"/>
      <c r="P82" s="19"/>
      <c r="Q82" s="2" t="s">
        <v>32</v>
      </c>
    </row>
    <row r="83" spans="1:17" ht="27.75" customHeight="1" x14ac:dyDescent="0.25">
      <c r="A83" s="3">
        <v>78</v>
      </c>
      <c r="B83" s="9" t="str">
        <f t="shared" si="1"/>
        <v>59-59</v>
      </c>
      <c r="C83" s="3" t="s">
        <v>70</v>
      </c>
      <c r="D83" s="3" t="s">
        <v>120</v>
      </c>
      <c r="E83" s="4" t="s">
        <v>244</v>
      </c>
      <c r="F83" s="19" t="s">
        <v>245</v>
      </c>
      <c r="G83" s="19"/>
      <c r="H83" s="19"/>
      <c r="I83" s="19" t="s">
        <v>70</v>
      </c>
      <c r="J83" s="19"/>
      <c r="K83" s="19"/>
      <c r="L83" s="19"/>
      <c r="M83" s="19" t="s">
        <v>246</v>
      </c>
      <c r="N83" s="19"/>
      <c r="O83" s="19"/>
      <c r="P83" s="19"/>
      <c r="Q83" s="2" t="s">
        <v>32</v>
      </c>
    </row>
    <row r="84" spans="1:17" ht="27.75" customHeight="1" x14ac:dyDescent="0.25">
      <c r="A84" s="3">
        <v>79</v>
      </c>
      <c r="B84" s="9" t="str">
        <f t="shared" si="1"/>
        <v>60-60</v>
      </c>
      <c r="C84" s="3" t="s">
        <v>70</v>
      </c>
      <c r="D84" s="3" t="s">
        <v>120</v>
      </c>
      <c r="E84" s="4" t="s">
        <v>247</v>
      </c>
      <c r="F84" s="19" t="s">
        <v>248</v>
      </c>
      <c r="G84" s="19"/>
      <c r="H84" s="19"/>
      <c r="I84" s="19" t="s">
        <v>70</v>
      </c>
      <c r="J84" s="19"/>
      <c r="K84" s="19"/>
      <c r="L84" s="19"/>
      <c r="M84" s="19" t="s">
        <v>249</v>
      </c>
      <c r="N84" s="19"/>
      <c r="O84" s="19"/>
      <c r="P84" s="19"/>
      <c r="Q84" s="2" t="s">
        <v>32</v>
      </c>
    </row>
    <row r="85" spans="1:17" ht="27.75" customHeight="1" x14ac:dyDescent="0.25">
      <c r="A85" s="3">
        <v>80</v>
      </c>
      <c r="B85" s="9" t="str">
        <f t="shared" si="1"/>
        <v>61-61</v>
      </c>
      <c r="C85" s="3" t="s">
        <v>70</v>
      </c>
      <c r="D85" s="3" t="s">
        <v>120</v>
      </c>
      <c r="E85" s="4" t="s">
        <v>250</v>
      </c>
      <c r="F85" s="19" t="s">
        <v>251</v>
      </c>
      <c r="G85" s="19"/>
      <c r="H85" s="19"/>
      <c r="I85" s="19" t="s">
        <v>70</v>
      </c>
      <c r="J85" s="19"/>
      <c r="K85" s="19"/>
      <c r="L85" s="19"/>
      <c r="M85" s="19" t="s">
        <v>252</v>
      </c>
      <c r="N85" s="19"/>
      <c r="O85" s="19"/>
      <c r="P85" s="19"/>
      <c r="Q85" s="2" t="s">
        <v>32</v>
      </c>
    </row>
    <row r="86" spans="1:17" ht="27.75" customHeight="1" x14ac:dyDescent="0.25">
      <c r="A86" s="3">
        <v>81</v>
      </c>
      <c r="B86" s="9" t="str">
        <f t="shared" si="1"/>
        <v>62-62</v>
      </c>
      <c r="C86" s="3" t="s">
        <v>70</v>
      </c>
      <c r="D86" s="3" t="s">
        <v>120</v>
      </c>
      <c r="E86" s="4" t="s">
        <v>253</v>
      </c>
      <c r="F86" s="19" t="s">
        <v>254</v>
      </c>
      <c r="G86" s="19"/>
      <c r="H86" s="19"/>
      <c r="I86" s="19" t="s">
        <v>70</v>
      </c>
      <c r="J86" s="19"/>
      <c r="K86" s="19"/>
      <c r="L86" s="19"/>
      <c r="M86" s="19" t="s">
        <v>255</v>
      </c>
      <c r="N86" s="19"/>
      <c r="O86" s="19"/>
      <c r="P86" s="19"/>
      <c r="Q86" s="2" t="s">
        <v>32</v>
      </c>
    </row>
    <row r="87" spans="1:17" ht="27.75" customHeight="1" x14ac:dyDescent="0.25">
      <c r="A87" s="3">
        <v>82</v>
      </c>
      <c r="B87" s="9" t="str">
        <f t="shared" ref="B87:B124" si="2">IFERROR((VALUE(TRIM(RIGHT(B86,LEN(B86)-FIND("-",B86))))+1)&amp;"-"&amp;IF(UPPER(TRIM(D87))="INT",VALUE(TRIM(RIGHT(B86,LEN(B86)-FIND("-",B86))))+1,IF(UPPER(TRIM(D87))="UINT",VALUE(TRIM(RIGHT(B86,LEN(B86)-FIND("-",B86))))+2,IF(UPPER(TRIM(D87))="REAL",VALUE(TRIM(RIGHT(B86,LEN(B86)-FIND("-",B86))))+2,IF(UPPER(TRIM(D87))="DINT",VALUE(TRIM(RIGHT(B86,LEN(B86)-FIND("-",B86))))+2,IF(UPPER(TRIM(D87))="UDINT",VALUE(TRIM(RIGHT(B86,LEN(B86)-FIND("-",B86))))+2,IF(LEFT(UPPER(TRIM(D87)),6)="STRING",VALUE(TRIM(RIGHT(B86,LEN(B86)-FIND("-",B86))))+VALUE(MID(UPPER(TRIM(D87)),FIND("[",UPPER(TRIM(D87)))+1,FIND("]",UPPER(TRIM(D87)))-FIND("[",UPPER(TRIM(D87)))-1)),"类型错误")))))),"格式错误")</f>
        <v>63-63</v>
      </c>
      <c r="C87" s="3" t="s">
        <v>70</v>
      </c>
      <c r="D87" s="3" t="s">
        <v>120</v>
      </c>
      <c r="E87" s="4" t="s">
        <v>256</v>
      </c>
      <c r="F87" s="19" t="s">
        <v>257</v>
      </c>
      <c r="G87" s="19"/>
      <c r="H87" s="19"/>
      <c r="I87" s="19" t="s">
        <v>70</v>
      </c>
      <c r="J87" s="19"/>
      <c r="K87" s="19"/>
      <c r="L87" s="19"/>
      <c r="M87" s="19" t="s">
        <v>258</v>
      </c>
      <c r="N87" s="19"/>
      <c r="O87" s="19"/>
      <c r="P87" s="19"/>
      <c r="Q87" s="2" t="s">
        <v>32</v>
      </c>
    </row>
    <row r="88" spans="1:17" ht="27.75" customHeight="1" x14ac:dyDescent="0.25">
      <c r="A88" s="3">
        <v>83</v>
      </c>
      <c r="B88" s="9" t="str">
        <f t="shared" si="2"/>
        <v>64-64</v>
      </c>
      <c r="C88" s="3" t="s">
        <v>70</v>
      </c>
      <c r="D88" s="3" t="s">
        <v>120</v>
      </c>
      <c r="E88" s="4" t="s">
        <v>259</v>
      </c>
      <c r="F88" s="19" t="s">
        <v>260</v>
      </c>
      <c r="G88" s="19"/>
      <c r="H88" s="19"/>
      <c r="I88" s="19" t="s">
        <v>70</v>
      </c>
      <c r="J88" s="19"/>
      <c r="K88" s="19"/>
      <c r="L88" s="19"/>
      <c r="M88" s="19" t="s">
        <v>261</v>
      </c>
      <c r="N88" s="19"/>
      <c r="O88" s="19"/>
      <c r="P88" s="19"/>
      <c r="Q88" s="2" t="s">
        <v>32</v>
      </c>
    </row>
    <row r="89" spans="1:17" ht="27.75" customHeight="1" x14ac:dyDescent="0.25">
      <c r="A89" s="3">
        <v>84</v>
      </c>
      <c r="B89" s="9" t="str">
        <f t="shared" si="2"/>
        <v>65-65</v>
      </c>
      <c r="C89" s="3" t="s">
        <v>70</v>
      </c>
      <c r="D89" s="3" t="s">
        <v>120</v>
      </c>
      <c r="E89" s="4" t="s">
        <v>262</v>
      </c>
      <c r="F89" s="19" t="s">
        <v>263</v>
      </c>
      <c r="G89" s="19"/>
      <c r="H89" s="19"/>
      <c r="I89" s="19" t="s">
        <v>70</v>
      </c>
      <c r="J89" s="19"/>
      <c r="K89" s="19"/>
      <c r="L89" s="19"/>
      <c r="M89" s="19" t="s">
        <v>264</v>
      </c>
      <c r="N89" s="19"/>
      <c r="O89" s="19"/>
      <c r="P89" s="19"/>
      <c r="Q89" s="2" t="s">
        <v>32</v>
      </c>
    </row>
    <row r="90" spans="1:17" ht="27.75" customHeight="1" x14ac:dyDescent="0.25">
      <c r="A90" s="3">
        <v>85</v>
      </c>
      <c r="B90" s="9" t="str">
        <f t="shared" si="2"/>
        <v>66-66</v>
      </c>
      <c r="C90" s="3" t="s">
        <v>70</v>
      </c>
      <c r="D90" s="3" t="s">
        <v>120</v>
      </c>
      <c r="E90" s="4" t="s">
        <v>265</v>
      </c>
      <c r="F90" s="19" t="s">
        <v>266</v>
      </c>
      <c r="G90" s="19"/>
      <c r="H90" s="19"/>
      <c r="I90" s="19" t="s">
        <v>70</v>
      </c>
      <c r="J90" s="19"/>
      <c r="K90" s="19"/>
      <c r="L90" s="19"/>
      <c r="M90" s="19" t="s">
        <v>267</v>
      </c>
      <c r="N90" s="19"/>
      <c r="O90" s="19"/>
      <c r="P90" s="19"/>
      <c r="Q90" s="2" t="s">
        <v>32</v>
      </c>
    </row>
    <row r="91" spans="1:17" ht="24" customHeight="1" x14ac:dyDescent="0.25">
      <c r="A91" s="3">
        <v>86</v>
      </c>
      <c r="B91" s="9" t="str">
        <f t="shared" si="2"/>
        <v>67-67</v>
      </c>
      <c r="C91" s="3" t="s">
        <v>70</v>
      </c>
      <c r="D91" s="3" t="s">
        <v>120</v>
      </c>
      <c r="E91" s="4" t="s">
        <v>268</v>
      </c>
      <c r="F91" s="19" t="s">
        <v>269</v>
      </c>
      <c r="G91" s="19"/>
      <c r="H91" s="19"/>
      <c r="I91" s="19" t="s">
        <v>70</v>
      </c>
      <c r="J91" s="19"/>
      <c r="K91" s="19"/>
      <c r="L91" s="19"/>
      <c r="M91" s="19" t="s">
        <v>270</v>
      </c>
      <c r="N91" s="19"/>
      <c r="O91" s="19"/>
      <c r="P91" s="19"/>
      <c r="Q91" s="2" t="s">
        <v>32</v>
      </c>
    </row>
    <row r="92" spans="1:17" ht="24" customHeight="1" x14ac:dyDescent="0.25">
      <c r="A92" s="3">
        <v>87</v>
      </c>
      <c r="B92" s="9" t="str">
        <f t="shared" si="2"/>
        <v>68-68</v>
      </c>
      <c r="C92" s="3" t="s">
        <v>70</v>
      </c>
      <c r="D92" s="3" t="s">
        <v>120</v>
      </c>
      <c r="E92" s="4" t="s">
        <v>271</v>
      </c>
      <c r="F92" s="19" t="s">
        <v>272</v>
      </c>
      <c r="G92" s="19"/>
      <c r="H92" s="19"/>
      <c r="I92" s="19" t="s">
        <v>70</v>
      </c>
      <c r="J92" s="19"/>
      <c r="K92" s="19"/>
      <c r="L92" s="19"/>
      <c r="M92" s="19" t="s">
        <v>273</v>
      </c>
      <c r="N92" s="19"/>
      <c r="O92" s="19"/>
      <c r="P92" s="19"/>
      <c r="Q92" s="2" t="s">
        <v>32</v>
      </c>
    </row>
    <row r="93" spans="1:17" ht="24" customHeight="1" x14ac:dyDescent="0.25">
      <c r="A93" s="3">
        <v>88</v>
      </c>
      <c r="B93" s="9" t="str">
        <f t="shared" si="2"/>
        <v>69-69</v>
      </c>
      <c r="C93" s="3" t="s">
        <v>70</v>
      </c>
      <c r="D93" s="3" t="s">
        <v>120</v>
      </c>
      <c r="E93" s="4" t="s">
        <v>274</v>
      </c>
      <c r="F93" s="19" t="s">
        <v>275</v>
      </c>
      <c r="G93" s="19"/>
      <c r="H93" s="19"/>
      <c r="I93" s="19" t="s">
        <v>70</v>
      </c>
      <c r="J93" s="19"/>
      <c r="K93" s="19"/>
      <c r="L93" s="19"/>
      <c r="M93" s="19" t="s">
        <v>276</v>
      </c>
      <c r="N93" s="19"/>
      <c r="O93" s="19"/>
      <c r="P93" s="19"/>
      <c r="Q93" s="2" t="s">
        <v>32</v>
      </c>
    </row>
    <row r="94" spans="1:17" ht="24" customHeight="1" x14ac:dyDescent="0.25">
      <c r="A94" s="3">
        <v>89</v>
      </c>
      <c r="B94" s="9" t="str">
        <f t="shared" si="2"/>
        <v>70-70</v>
      </c>
      <c r="C94" s="3" t="s">
        <v>70</v>
      </c>
      <c r="D94" s="3" t="s">
        <v>120</v>
      </c>
      <c r="E94" s="4" t="s">
        <v>277</v>
      </c>
      <c r="F94" s="19" t="s">
        <v>278</v>
      </c>
      <c r="G94" s="19"/>
      <c r="H94" s="19"/>
      <c r="I94" s="19" t="s">
        <v>70</v>
      </c>
      <c r="J94" s="19"/>
      <c r="K94" s="19"/>
      <c r="L94" s="19"/>
      <c r="M94" s="19" t="s">
        <v>279</v>
      </c>
      <c r="N94" s="19"/>
      <c r="O94" s="19"/>
      <c r="P94" s="19"/>
      <c r="Q94" s="2" t="s">
        <v>32</v>
      </c>
    </row>
    <row r="95" spans="1:17" ht="24" customHeight="1" x14ac:dyDescent="0.25">
      <c r="A95" s="3">
        <v>90</v>
      </c>
      <c r="B95" s="9" t="str">
        <f t="shared" si="2"/>
        <v>71-71</v>
      </c>
      <c r="C95" s="3" t="s">
        <v>70</v>
      </c>
      <c r="D95" s="3" t="s">
        <v>120</v>
      </c>
      <c r="E95" s="4" t="s">
        <v>280</v>
      </c>
      <c r="F95" s="19" t="s">
        <v>281</v>
      </c>
      <c r="G95" s="19"/>
      <c r="H95" s="19"/>
      <c r="I95" s="19" t="s">
        <v>70</v>
      </c>
      <c r="J95" s="19"/>
      <c r="K95" s="19"/>
      <c r="L95" s="19"/>
      <c r="M95" s="19" t="s">
        <v>282</v>
      </c>
      <c r="N95" s="19"/>
      <c r="O95" s="19"/>
      <c r="P95" s="19"/>
      <c r="Q95" s="2" t="s">
        <v>32</v>
      </c>
    </row>
    <row r="96" spans="1:17" ht="24" customHeight="1" x14ac:dyDescent="0.25">
      <c r="A96" s="3">
        <v>91</v>
      </c>
      <c r="B96" s="9" t="str">
        <f t="shared" si="2"/>
        <v>72-72</v>
      </c>
      <c r="C96" s="3" t="s">
        <v>70</v>
      </c>
      <c r="D96" s="3" t="s">
        <v>120</v>
      </c>
      <c r="E96" s="4" t="s">
        <v>283</v>
      </c>
      <c r="F96" s="19" t="s">
        <v>284</v>
      </c>
      <c r="G96" s="19"/>
      <c r="H96" s="19"/>
      <c r="I96" s="19" t="s">
        <v>70</v>
      </c>
      <c r="J96" s="19"/>
      <c r="K96" s="19"/>
      <c r="L96" s="19"/>
      <c r="M96" s="19" t="s">
        <v>285</v>
      </c>
      <c r="N96" s="19"/>
      <c r="O96" s="19"/>
      <c r="P96" s="19"/>
      <c r="Q96" s="2" t="s">
        <v>32</v>
      </c>
    </row>
    <row r="97" spans="1:17" ht="24" customHeight="1" x14ac:dyDescent="0.25">
      <c r="A97" s="3">
        <v>92</v>
      </c>
      <c r="B97" s="9" t="str">
        <f t="shared" si="2"/>
        <v>73-73</v>
      </c>
      <c r="C97" s="3" t="s">
        <v>70</v>
      </c>
      <c r="D97" s="3" t="s">
        <v>120</v>
      </c>
      <c r="E97" s="4" t="s">
        <v>286</v>
      </c>
      <c r="F97" s="19" t="s">
        <v>287</v>
      </c>
      <c r="G97" s="19"/>
      <c r="H97" s="19"/>
      <c r="I97" s="19" t="s">
        <v>70</v>
      </c>
      <c r="J97" s="19"/>
      <c r="K97" s="19"/>
      <c r="L97" s="19"/>
      <c r="M97" s="19" t="s">
        <v>288</v>
      </c>
      <c r="N97" s="19"/>
      <c r="O97" s="19"/>
      <c r="P97" s="19"/>
      <c r="Q97" s="2" t="s">
        <v>32</v>
      </c>
    </row>
    <row r="98" spans="1:17" ht="24" customHeight="1" x14ac:dyDescent="0.25">
      <c r="A98" s="3">
        <v>93</v>
      </c>
      <c r="B98" s="9" t="str">
        <f t="shared" si="2"/>
        <v>74-74</v>
      </c>
      <c r="C98" s="3" t="s">
        <v>70</v>
      </c>
      <c r="D98" s="3" t="s">
        <v>120</v>
      </c>
      <c r="E98" s="4" t="s">
        <v>289</v>
      </c>
      <c r="F98" s="19" t="s">
        <v>290</v>
      </c>
      <c r="G98" s="19"/>
      <c r="H98" s="19"/>
      <c r="I98" s="19" t="s">
        <v>70</v>
      </c>
      <c r="J98" s="19"/>
      <c r="K98" s="19"/>
      <c r="L98" s="19"/>
      <c r="M98" s="19" t="s">
        <v>291</v>
      </c>
      <c r="N98" s="19"/>
      <c r="O98" s="19"/>
      <c r="P98" s="19"/>
      <c r="Q98" s="2" t="s">
        <v>32</v>
      </c>
    </row>
    <row r="99" spans="1:17" ht="24" customHeight="1" x14ac:dyDescent="0.25">
      <c r="A99" s="3">
        <v>94</v>
      </c>
      <c r="B99" s="9" t="str">
        <f t="shared" si="2"/>
        <v>75-75</v>
      </c>
      <c r="C99" s="3" t="s">
        <v>70</v>
      </c>
      <c r="D99" s="3" t="s">
        <v>120</v>
      </c>
      <c r="E99" s="4" t="s">
        <v>292</v>
      </c>
      <c r="F99" s="19" t="s">
        <v>293</v>
      </c>
      <c r="G99" s="19"/>
      <c r="H99" s="19"/>
      <c r="I99" s="19" t="s">
        <v>70</v>
      </c>
      <c r="J99" s="19"/>
      <c r="K99" s="19"/>
      <c r="L99" s="19"/>
      <c r="M99" s="19" t="s">
        <v>294</v>
      </c>
      <c r="N99" s="19"/>
      <c r="O99" s="19"/>
      <c r="P99" s="19"/>
      <c r="Q99" s="2" t="s">
        <v>32</v>
      </c>
    </row>
    <row r="100" spans="1:17" ht="24" customHeight="1" x14ac:dyDescent="0.25">
      <c r="A100" s="3">
        <v>95</v>
      </c>
      <c r="B100" s="9" t="str">
        <f t="shared" si="2"/>
        <v>76-76</v>
      </c>
      <c r="C100" s="3" t="s">
        <v>70</v>
      </c>
      <c r="D100" s="3" t="s">
        <v>120</v>
      </c>
      <c r="E100" s="4" t="s">
        <v>295</v>
      </c>
      <c r="F100" s="19" t="s">
        <v>296</v>
      </c>
      <c r="G100" s="19"/>
      <c r="H100" s="19"/>
      <c r="I100" s="19" t="s">
        <v>70</v>
      </c>
      <c r="J100" s="19"/>
      <c r="K100" s="19"/>
      <c r="L100" s="19"/>
      <c r="M100" s="19" t="s">
        <v>297</v>
      </c>
      <c r="N100" s="19"/>
      <c r="O100" s="19"/>
      <c r="P100" s="19"/>
      <c r="Q100" s="2" t="s">
        <v>32</v>
      </c>
    </row>
    <row r="101" spans="1:17" ht="24" customHeight="1" x14ac:dyDescent="0.25">
      <c r="A101" s="3">
        <v>96</v>
      </c>
      <c r="B101" s="9" t="str">
        <f t="shared" si="2"/>
        <v>77-77</v>
      </c>
      <c r="C101" s="3" t="s">
        <v>70</v>
      </c>
      <c r="D101" s="3" t="s">
        <v>120</v>
      </c>
      <c r="E101" s="4" t="s">
        <v>298</v>
      </c>
      <c r="F101" s="19" t="s">
        <v>299</v>
      </c>
      <c r="G101" s="19"/>
      <c r="H101" s="19"/>
      <c r="I101" s="19" t="s">
        <v>70</v>
      </c>
      <c r="J101" s="19"/>
      <c r="K101" s="19"/>
      <c r="L101" s="19"/>
      <c r="M101" s="19" t="s">
        <v>300</v>
      </c>
      <c r="N101" s="19"/>
      <c r="O101" s="19"/>
      <c r="P101" s="19"/>
      <c r="Q101" s="2" t="s">
        <v>32</v>
      </c>
    </row>
    <row r="102" spans="1:17" ht="24" customHeight="1" x14ac:dyDescent="0.25">
      <c r="A102" s="3">
        <v>97</v>
      </c>
      <c r="B102" s="9" t="str">
        <f t="shared" si="2"/>
        <v>78-78</v>
      </c>
      <c r="C102" s="3" t="s">
        <v>70</v>
      </c>
      <c r="D102" s="3" t="s">
        <v>120</v>
      </c>
      <c r="E102" s="4" t="s">
        <v>301</v>
      </c>
      <c r="F102" s="19" t="s">
        <v>302</v>
      </c>
      <c r="G102" s="19"/>
      <c r="H102" s="19"/>
      <c r="I102" s="19" t="s">
        <v>70</v>
      </c>
      <c r="J102" s="19"/>
      <c r="K102" s="19"/>
      <c r="L102" s="19"/>
      <c r="M102" s="19" t="s">
        <v>303</v>
      </c>
      <c r="N102" s="19"/>
      <c r="O102" s="19"/>
      <c r="P102" s="19"/>
      <c r="Q102" s="2" t="s">
        <v>32</v>
      </c>
    </row>
    <row r="103" spans="1:17" ht="24" customHeight="1" x14ac:dyDescent="0.25">
      <c r="A103" s="3">
        <v>98</v>
      </c>
      <c r="B103" s="9" t="str">
        <f t="shared" si="2"/>
        <v>79-79</v>
      </c>
      <c r="C103" s="3" t="s">
        <v>70</v>
      </c>
      <c r="D103" s="3" t="s">
        <v>120</v>
      </c>
      <c r="E103" s="4" t="s">
        <v>304</v>
      </c>
      <c r="F103" s="19" t="s">
        <v>305</v>
      </c>
      <c r="G103" s="19"/>
      <c r="H103" s="19"/>
      <c r="I103" s="19" t="s">
        <v>70</v>
      </c>
      <c r="J103" s="19"/>
      <c r="K103" s="19"/>
      <c r="L103" s="19"/>
      <c r="M103" s="19" t="s">
        <v>306</v>
      </c>
      <c r="N103" s="19"/>
      <c r="O103" s="19"/>
      <c r="P103" s="19"/>
      <c r="Q103" s="2" t="s">
        <v>32</v>
      </c>
    </row>
    <row r="104" spans="1:17" ht="24" customHeight="1" x14ac:dyDescent="0.25">
      <c r="A104" s="3">
        <v>99</v>
      </c>
      <c r="B104" s="9" t="str">
        <f t="shared" si="2"/>
        <v>80-80</v>
      </c>
      <c r="C104" s="3" t="s">
        <v>70</v>
      </c>
      <c r="D104" s="3" t="s">
        <v>120</v>
      </c>
      <c r="E104" s="4" t="s">
        <v>307</v>
      </c>
      <c r="F104" s="19" t="s">
        <v>308</v>
      </c>
      <c r="G104" s="19"/>
      <c r="H104" s="19"/>
      <c r="I104" s="19" t="s">
        <v>70</v>
      </c>
      <c r="J104" s="19"/>
      <c r="K104" s="19"/>
      <c r="L104" s="19"/>
      <c r="M104" s="19" t="s">
        <v>309</v>
      </c>
      <c r="N104" s="19"/>
      <c r="O104" s="19"/>
      <c r="P104" s="19"/>
      <c r="Q104" s="2" t="s">
        <v>32</v>
      </c>
    </row>
    <row r="105" spans="1:17" ht="24" customHeight="1" x14ac:dyDescent="0.25">
      <c r="A105" s="3">
        <v>100</v>
      </c>
      <c r="B105" s="9" t="str">
        <f t="shared" si="2"/>
        <v>81-81</v>
      </c>
      <c r="C105" s="3" t="s">
        <v>70</v>
      </c>
      <c r="D105" s="3" t="s">
        <v>120</v>
      </c>
      <c r="E105" s="4" t="s">
        <v>310</v>
      </c>
      <c r="F105" s="19" t="s">
        <v>311</v>
      </c>
      <c r="G105" s="19"/>
      <c r="H105" s="19"/>
      <c r="I105" s="19" t="s">
        <v>70</v>
      </c>
      <c r="J105" s="19"/>
      <c r="K105" s="19"/>
      <c r="L105" s="19"/>
      <c r="M105" s="19" t="s">
        <v>312</v>
      </c>
      <c r="N105" s="19"/>
      <c r="O105" s="19"/>
      <c r="P105" s="19"/>
      <c r="Q105" s="2" t="s">
        <v>32</v>
      </c>
    </row>
    <row r="106" spans="1:17" ht="24" customHeight="1" x14ac:dyDescent="0.25">
      <c r="A106" s="3">
        <v>101</v>
      </c>
      <c r="B106" s="9" t="str">
        <f t="shared" si="2"/>
        <v>82-82</v>
      </c>
      <c r="C106" s="3" t="s">
        <v>70</v>
      </c>
      <c r="D106" s="3" t="s">
        <v>120</v>
      </c>
      <c r="E106" s="4" t="s">
        <v>313</v>
      </c>
      <c r="F106" s="19" t="s">
        <v>314</v>
      </c>
      <c r="G106" s="19"/>
      <c r="H106" s="19"/>
      <c r="I106" s="19" t="s">
        <v>70</v>
      </c>
      <c r="J106" s="19"/>
      <c r="K106" s="19"/>
      <c r="L106" s="19"/>
      <c r="M106" s="19" t="s">
        <v>315</v>
      </c>
      <c r="N106" s="19"/>
      <c r="O106" s="19"/>
      <c r="P106" s="19"/>
      <c r="Q106" s="2" t="s">
        <v>32</v>
      </c>
    </row>
    <row r="107" spans="1:17" ht="24" customHeight="1" x14ac:dyDescent="0.25">
      <c r="A107" s="3">
        <v>102</v>
      </c>
      <c r="B107" s="9" t="str">
        <f t="shared" si="2"/>
        <v>83-83</v>
      </c>
      <c r="C107" s="3" t="s">
        <v>70</v>
      </c>
      <c r="D107" s="3" t="s">
        <v>120</v>
      </c>
      <c r="E107" s="4" t="s">
        <v>316</v>
      </c>
      <c r="F107" s="19" t="s">
        <v>317</v>
      </c>
      <c r="G107" s="19"/>
      <c r="H107" s="19"/>
      <c r="I107" s="19" t="s">
        <v>70</v>
      </c>
      <c r="J107" s="19"/>
      <c r="K107" s="19"/>
      <c r="L107" s="19"/>
      <c r="M107" s="19" t="s">
        <v>318</v>
      </c>
      <c r="N107" s="19"/>
      <c r="O107" s="19"/>
      <c r="P107" s="19"/>
      <c r="Q107" s="2" t="s">
        <v>32</v>
      </c>
    </row>
    <row r="108" spans="1:17" ht="24" customHeight="1" x14ac:dyDescent="0.25">
      <c r="A108" s="3">
        <v>103</v>
      </c>
      <c r="B108" s="9" t="str">
        <f t="shared" si="2"/>
        <v>84-84</v>
      </c>
      <c r="C108" s="3" t="s">
        <v>70</v>
      </c>
      <c r="D108" s="3" t="s">
        <v>120</v>
      </c>
      <c r="E108" s="4" t="s">
        <v>319</v>
      </c>
      <c r="F108" s="19" t="s">
        <v>320</v>
      </c>
      <c r="G108" s="19"/>
      <c r="H108" s="19"/>
      <c r="I108" s="19" t="s">
        <v>70</v>
      </c>
      <c r="J108" s="19"/>
      <c r="K108" s="19"/>
      <c r="L108" s="19"/>
      <c r="M108" s="19" t="s">
        <v>321</v>
      </c>
      <c r="N108" s="19"/>
      <c r="O108" s="19"/>
      <c r="P108" s="19"/>
      <c r="Q108" s="2" t="s">
        <v>32</v>
      </c>
    </row>
    <row r="109" spans="1:17" ht="24" customHeight="1" x14ac:dyDescent="0.25">
      <c r="A109" s="3">
        <v>104</v>
      </c>
      <c r="B109" s="9" t="str">
        <f t="shared" si="2"/>
        <v>85-85</v>
      </c>
      <c r="C109" s="3" t="s">
        <v>70</v>
      </c>
      <c r="D109" s="3" t="s">
        <v>120</v>
      </c>
      <c r="E109" s="4" t="s">
        <v>322</v>
      </c>
      <c r="F109" s="19" t="s">
        <v>323</v>
      </c>
      <c r="G109" s="19"/>
      <c r="H109" s="19"/>
      <c r="I109" s="19" t="s">
        <v>70</v>
      </c>
      <c r="J109" s="19"/>
      <c r="K109" s="19"/>
      <c r="L109" s="19"/>
      <c r="M109" s="19" t="s">
        <v>324</v>
      </c>
      <c r="N109" s="19"/>
      <c r="O109" s="19"/>
      <c r="P109" s="19"/>
      <c r="Q109" s="2" t="s">
        <v>32</v>
      </c>
    </row>
    <row r="110" spans="1:17" ht="24" customHeight="1" x14ac:dyDescent="0.25">
      <c r="A110" s="3">
        <v>105</v>
      </c>
      <c r="B110" s="9" t="str">
        <f t="shared" si="2"/>
        <v>86-86</v>
      </c>
      <c r="C110" s="3" t="s">
        <v>70</v>
      </c>
      <c r="D110" s="3" t="s">
        <v>120</v>
      </c>
      <c r="E110" s="4" t="s">
        <v>325</v>
      </c>
      <c r="F110" s="19" t="s">
        <v>326</v>
      </c>
      <c r="G110" s="19"/>
      <c r="H110" s="19"/>
      <c r="I110" s="19" t="s">
        <v>70</v>
      </c>
      <c r="J110" s="19"/>
      <c r="K110" s="19"/>
      <c r="L110" s="19"/>
      <c r="M110" s="19" t="s">
        <v>327</v>
      </c>
      <c r="N110" s="19"/>
      <c r="O110" s="19"/>
      <c r="P110" s="19"/>
      <c r="Q110" s="2" t="s">
        <v>32</v>
      </c>
    </row>
    <row r="111" spans="1:17" ht="24" customHeight="1" x14ac:dyDescent="0.25">
      <c r="A111" s="3">
        <v>106</v>
      </c>
      <c r="B111" s="9" t="str">
        <f t="shared" si="2"/>
        <v>87-87</v>
      </c>
      <c r="C111" s="3" t="s">
        <v>70</v>
      </c>
      <c r="D111" s="3" t="s">
        <v>120</v>
      </c>
      <c r="E111" s="4" t="s">
        <v>328</v>
      </c>
      <c r="F111" s="19" t="s">
        <v>329</v>
      </c>
      <c r="G111" s="19"/>
      <c r="H111" s="19"/>
      <c r="I111" s="19" t="s">
        <v>70</v>
      </c>
      <c r="J111" s="19"/>
      <c r="K111" s="19"/>
      <c r="L111" s="19"/>
      <c r="M111" s="19" t="s">
        <v>330</v>
      </c>
      <c r="N111" s="19"/>
      <c r="O111" s="19"/>
      <c r="P111" s="19"/>
      <c r="Q111" s="2" t="s">
        <v>32</v>
      </c>
    </row>
    <row r="112" spans="1:17" ht="24" customHeight="1" x14ac:dyDescent="0.25">
      <c r="A112" s="3">
        <v>107</v>
      </c>
      <c r="B112" s="9" t="str">
        <f t="shared" si="2"/>
        <v>88-88</v>
      </c>
      <c r="C112" s="3" t="s">
        <v>70</v>
      </c>
      <c r="D112" s="3" t="s">
        <v>120</v>
      </c>
      <c r="E112" s="4" t="s">
        <v>331</v>
      </c>
      <c r="F112" s="19" t="s">
        <v>332</v>
      </c>
      <c r="G112" s="19"/>
      <c r="H112" s="19"/>
      <c r="I112" s="19" t="s">
        <v>70</v>
      </c>
      <c r="J112" s="19"/>
      <c r="K112" s="19"/>
      <c r="L112" s="19"/>
      <c r="M112" s="19" t="s">
        <v>333</v>
      </c>
      <c r="N112" s="19"/>
      <c r="O112" s="19"/>
      <c r="P112" s="19"/>
      <c r="Q112" s="2" t="s">
        <v>32</v>
      </c>
    </row>
    <row r="113" spans="1:18" ht="24" customHeight="1" x14ac:dyDescent="0.25">
      <c r="A113" s="3">
        <v>108</v>
      </c>
      <c r="B113" s="9" t="str">
        <f t="shared" si="2"/>
        <v>89-89</v>
      </c>
      <c r="C113" s="3" t="s">
        <v>70</v>
      </c>
      <c r="D113" s="3" t="s">
        <v>120</v>
      </c>
      <c r="E113" s="4" t="s">
        <v>334</v>
      </c>
      <c r="F113" s="19" t="s">
        <v>335</v>
      </c>
      <c r="G113" s="19"/>
      <c r="H113" s="19"/>
      <c r="I113" s="19" t="s">
        <v>70</v>
      </c>
      <c r="J113" s="19"/>
      <c r="K113" s="19"/>
      <c r="L113" s="19"/>
      <c r="M113" s="19" t="s">
        <v>336</v>
      </c>
      <c r="N113" s="19"/>
      <c r="O113" s="19"/>
      <c r="P113" s="19"/>
      <c r="Q113" s="2" t="s">
        <v>32</v>
      </c>
    </row>
    <row r="114" spans="1:18" ht="24" customHeight="1" x14ac:dyDescent="0.25">
      <c r="A114" s="3">
        <v>109</v>
      </c>
      <c r="B114" s="9" t="str">
        <f t="shared" si="2"/>
        <v>90-90</v>
      </c>
      <c r="C114" s="3" t="s">
        <v>70</v>
      </c>
      <c r="D114" s="3" t="s">
        <v>120</v>
      </c>
      <c r="E114" s="4" t="s">
        <v>337</v>
      </c>
      <c r="F114" s="19" t="s">
        <v>338</v>
      </c>
      <c r="G114" s="19"/>
      <c r="H114" s="19"/>
      <c r="I114" s="19" t="s">
        <v>70</v>
      </c>
      <c r="J114" s="19"/>
      <c r="K114" s="19"/>
      <c r="L114" s="19"/>
      <c r="M114" s="19" t="s">
        <v>339</v>
      </c>
      <c r="N114" s="19"/>
      <c r="O114" s="19"/>
      <c r="P114" s="19"/>
      <c r="Q114" s="2" t="s">
        <v>32</v>
      </c>
    </row>
    <row r="115" spans="1:18" ht="24" customHeight="1" x14ac:dyDescent="0.25">
      <c r="A115" s="3">
        <v>110</v>
      </c>
      <c r="B115" s="9" t="str">
        <f t="shared" si="2"/>
        <v>91-91</v>
      </c>
      <c r="C115" s="3" t="s">
        <v>70</v>
      </c>
      <c r="D115" s="3" t="s">
        <v>120</v>
      </c>
      <c r="E115" s="4" t="s">
        <v>340</v>
      </c>
      <c r="F115" s="19" t="s">
        <v>341</v>
      </c>
      <c r="G115" s="19"/>
      <c r="H115" s="19"/>
      <c r="I115" s="19" t="s">
        <v>70</v>
      </c>
      <c r="J115" s="19"/>
      <c r="K115" s="19"/>
      <c r="L115" s="19"/>
      <c r="M115" s="19" t="s">
        <v>342</v>
      </c>
      <c r="N115" s="19"/>
      <c r="O115" s="19"/>
      <c r="P115" s="19"/>
      <c r="Q115" s="2" t="s">
        <v>32</v>
      </c>
    </row>
    <row r="116" spans="1:18" ht="24" customHeight="1" x14ac:dyDescent="0.25">
      <c r="A116" s="3">
        <v>111</v>
      </c>
      <c r="B116" s="9" t="str">
        <f t="shared" si="2"/>
        <v>92-92</v>
      </c>
      <c r="C116" s="3" t="s">
        <v>70</v>
      </c>
      <c r="D116" s="3" t="s">
        <v>120</v>
      </c>
      <c r="E116" s="4" t="s">
        <v>343</v>
      </c>
      <c r="F116" s="19" t="s">
        <v>344</v>
      </c>
      <c r="G116" s="19"/>
      <c r="H116" s="19"/>
      <c r="I116" s="19" t="s">
        <v>70</v>
      </c>
      <c r="J116" s="19"/>
      <c r="K116" s="19"/>
      <c r="L116" s="19"/>
      <c r="M116" s="19" t="s">
        <v>345</v>
      </c>
      <c r="N116" s="19"/>
      <c r="O116" s="19"/>
      <c r="P116" s="19"/>
      <c r="Q116" s="2" t="s">
        <v>32</v>
      </c>
    </row>
    <row r="117" spans="1:18" ht="24" customHeight="1" x14ac:dyDescent="0.25">
      <c r="A117" s="3">
        <v>112</v>
      </c>
      <c r="B117" s="9" t="str">
        <f t="shared" si="2"/>
        <v>93-93</v>
      </c>
      <c r="C117" s="3" t="s">
        <v>70</v>
      </c>
      <c r="D117" s="3" t="s">
        <v>120</v>
      </c>
      <c r="E117" s="4" t="s">
        <v>346</v>
      </c>
      <c r="F117" s="19" t="s">
        <v>347</v>
      </c>
      <c r="G117" s="19"/>
      <c r="H117" s="19"/>
      <c r="I117" s="19" t="s">
        <v>70</v>
      </c>
      <c r="J117" s="19"/>
      <c r="K117" s="19"/>
      <c r="L117" s="19"/>
      <c r="M117" s="19" t="s">
        <v>348</v>
      </c>
      <c r="N117" s="19"/>
      <c r="O117" s="19"/>
      <c r="P117" s="19"/>
      <c r="Q117" s="2" t="s">
        <v>32</v>
      </c>
    </row>
    <row r="118" spans="1:18" ht="24" customHeight="1" x14ac:dyDescent="0.25">
      <c r="A118" s="3">
        <v>113</v>
      </c>
      <c r="B118" s="9" t="str">
        <f t="shared" si="2"/>
        <v>94-94</v>
      </c>
      <c r="C118" s="3" t="s">
        <v>70</v>
      </c>
      <c r="D118" s="3" t="s">
        <v>120</v>
      </c>
      <c r="E118" s="4" t="s">
        <v>349</v>
      </c>
      <c r="F118" s="19" t="s">
        <v>350</v>
      </c>
      <c r="G118" s="19"/>
      <c r="H118" s="19"/>
      <c r="I118" s="19" t="s">
        <v>70</v>
      </c>
      <c r="J118" s="19"/>
      <c r="K118" s="19"/>
      <c r="L118" s="19"/>
      <c r="M118" s="19" t="s">
        <v>351</v>
      </c>
      <c r="N118" s="19"/>
      <c r="O118" s="19"/>
      <c r="P118" s="19"/>
      <c r="Q118" s="2" t="s">
        <v>32</v>
      </c>
    </row>
    <row r="119" spans="1:18" ht="24" customHeight="1" x14ac:dyDescent="0.25">
      <c r="A119" s="3">
        <v>114</v>
      </c>
      <c r="B119" s="9" t="str">
        <f t="shared" si="2"/>
        <v>95-95</v>
      </c>
      <c r="C119" s="3" t="s">
        <v>70</v>
      </c>
      <c r="D119" s="3" t="s">
        <v>120</v>
      </c>
      <c r="E119" s="4" t="s">
        <v>352</v>
      </c>
      <c r="F119" s="19" t="s">
        <v>353</v>
      </c>
      <c r="G119" s="19"/>
      <c r="H119" s="19"/>
      <c r="I119" s="19" t="s">
        <v>70</v>
      </c>
      <c r="J119" s="19"/>
      <c r="K119" s="19"/>
      <c r="L119" s="19"/>
      <c r="M119" s="19" t="s">
        <v>354</v>
      </c>
      <c r="N119" s="19"/>
      <c r="O119" s="19"/>
      <c r="P119" s="19"/>
      <c r="Q119" s="2" t="s">
        <v>32</v>
      </c>
    </row>
    <row r="120" spans="1:18" ht="24" customHeight="1" x14ac:dyDescent="0.25">
      <c r="A120" s="3">
        <v>115</v>
      </c>
      <c r="B120" s="9" t="str">
        <f t="shared" si="2"/>
        <v>96-96</v>
      </c>
      <c r="C120" s="3" t="s">
        <v>70</v>
      </c>
      <c r="D120" s="3" t="s">
        <v>120</v>
      </c>
      <c r="E120" s="4" t="s">
        <v>355</v>
      </c>
      <c r="F120" s="19" t="s">
        <v>356</v>
      </c>
      <c r="G120" s="19"/>
      <c r="H120" s="19"/>
      <c r="I120" s="19" t="s">
        <v>70</v>
      </c>
      <c r="J120" s="19"/>
      <c r="K120" s="19"/>
      <c r="L120" s="19"/>
      <c r="M120" s="19" t="s">
        <v>357</v>
      </c>
      <c r="N120" s="19"/>
      <c r="O120" s="19"/>
      <c r="P120" s="19"/>
      <c r="Q120" s="2" t="s">
        <v>32</v>
      </c>
    </row>
    <row r="121" spans="1:18" ht="24" customHeight="1" x14ac:dyDescent="0.25">
      <c r="A121" s="3">
        <v>116</v>
      </c>
      <c r="B121" s="9" t="str">
        <f t="shared" si="2"/>
        <v>97-97</v>
      </c>
      <c r="C121" s="3" t="s">
        <v>70</v>
      </c>
      <c r="D121" s="3" t="s">
        <v>120</v>
      </c>
      <c r="E121" s="4" t="s">
        <v>358</v>
      </c>
      <c r="F121" s="19" t="s">
        <v>359</v>
      </c>
      <c r="G121" s="19"/>
      <c r="H121" s="19"/>
      <c r="I121" s="19" t="s">
        <v>70</v>
      </c>
      <c r="J121" s="19"/>
      <c r="K121" s="19"/>
      <c r="L121" s="19"/>
      <c r="M121" s="19" t="s">
        <v>360</v>
      </c>
      <c r="N121" s="19"/>
      <c r="O121" s="19"/>
      <c r="P121" s="19"/>
      <c r="Q121" s="2" t="s">
        <v>32</v>
      </c>
    </row>
    <row r="122" spans="1:18" ht="24" customHeight="1" x14ac:dyDescent="0.25">
      <c r="A122" s="3">
        <v>117</v>
      </c>
      <c r="B122" s="9" t="str">
        <f t="shared" si="2"/>
        <v>98-98</v>
      </c>
      <c r="C122" s="3" t="s">
        <v>70</v>
      </c>
      <c r="D122" s="3" t="s">
        <v>120</v>
      </c>
      <c r="E122" s="4" t="s">
        <v>361</v>
      </c>
      <c r="F122" s="19" t="s">
        <v>362</v>
      </c>
      <c r="G122" s="19"/>
      <c r="H122" s="19"/>
      <c r="I122" s="19" t="s">
        <v>70</v>
      </c>
      <c r="J122" s="19"/>
      <c r="K122" s="19"/>
      <c r="L122" s="19"/>
      <c r="M122" s="19" t="s">
        <v>363</v>
      </c>
      <c r="N122" s="19"/>
      <c r="O122" s="19"/>
      <c r="P122" s="19"/>
      <c r="Q122" s="2" t="s">
        <v>32</v>
      </c>
    </row>
    <row r="123" spans="1:18" ht="24" customHeight="1" x14ac:dyDescent="0.25">
      <c r="A123" s="3">
        <v>118</v>
      </c>
      <c r="B123" s="9" t="str">
        <f t="shared" si="2"/>
        <v>99-99</v>
      </c>
      <c r="C123" s="3" t="s">
        <v>70</v>
      </c>
      <c r="D123" s="3" t="s">
        <v>120</v>
      </c>
      <c r="E123" s="4" t="s">
        <v>364</v>
      </c>
      <c r="F123" s="19" t="s">
        <v>365</v>
      </c>
      <c r="G123" s="19"/>
      <c r="H123" s="19"/>
      <c r="I123" s="19" t="s">
        <v>70</v>
      </c>
      <c r="J123" s="19"/>
      <c r="K123" s="19"/>
      <c r="L123" s="19"/>
      <c r="M123" s="19" t="s">
        <v>366</v>
      </c>
      <c r="N123" s="19"/>
      <c r="O123" s="19"/>
      <c r="P123" s="19"/>
      <c r="Q123" s="2" t="s">
        <v>32</v>
      </c>
    </row>
    <row r="124" spans="1:18" ht="24" customHeight="1" x14ac:dyDescent="0.25">
      <c r="A124" s="3">
        <v>119</v>
      </c>
      <c r="B124" s="9" t="str">
        <f t="shared" si="2"/>
        <v>100-100</v>
      </c>
      <c r="C124" s="3" t="s">
        <v>70</v>
      </c>
      <c r="D124" s="3" t="s">
        <v>120</v>
      </c>
      <c r="E124" s="4" t="s">
        <v>367</v>
      </c>
      <c r="F124" s="19" t="s">
        <v>368</v>
      </c>
      <c r="G124" s="19"/>
      <c r="H124" s="19"/>
      <c r="I124" s="19" t="s">
        <v>70</v>
      </c>
      <c r="J124" s="19"/>
      <c r="K124" s="19"/>
      <c r="L124" s="19"/>
      <c r="M124" s="19" t="s">
        <v>369</v>
      </c>
      <c r="N124" s="19"/>
      <c r="O124" s="19"/>
      <c r="P124" s="19"/>
      <c r="Q124" s="2" t="s">
        <v>32</v>
      </c>
    </row>
    <row r="125" spans="1:18" ht="30" customHeight="1" x14ac:dyDescent="0.25">
      <c r="A125" s="3">
        <v>120</v>
      </c>
      <c r="B125" s="48">
        <v>101</v>
      </c>
      <c r="C125" s="3">
        <v>0</v>
      </c>
      <c r="D125" s="3" t="s">
        <v>27</v>
      </c>
      <c r="E125" s="4" t="s">
        <v>370</v>
      </c>
      <c r="F125" s="40" t="s">
        <v>371</v>
      </c>
      <c r="G125" s="40" t="s">
        <v>372</v>
      </c>
      <c r="H125" s="40" t="s">
        <v>372</v>
      </c>
      <c r="I125" s="40" t="s">
        <v>371</v>
      </c>
      <c r="J125" s="40" t="s">
        <v>371</v>
      </c>
      <c r="K125" s="40" t="s">
        <v>371</v>
      </c>
      <c r="L125" s="40" t="s">
        <v>371</v>
      </c>
      <c r="M125" s="33" t="s">
        <v>108</v>
      </c>
      <c r="N125" s="34"/>
      <c r="O125" s="34"/>
      <c r="P125" s="35"/>
      <c r="Q125" s="2" t="s">
        <v>373</v>
      </c>
      <c r="R125" s="2" t="s">
        <v>374</v>
      </c>
    </row>
    <row r="126" spans="1:18" ht="31" customHeight="1" x14ac:dyDescent="0.25">
      <c r="A126" s="3">
        <v>121</v>
      </c>
      <c r="B126" s="49"/>
      <c r="C126" s="3">
        <v>1</v>
      </c>
      <c r="D126" s="3" t="s">
        <v>27</v>
      </c>
      <c r="E126" s="4" t="s">
        <v>375</v>
      </c>
      <c r="F126" s="40" t="s">
        <v>376</v>
      </c>
      <c r="G126" s="40" t="s">
        <v>376</v>
      </c>
      <c r="H126" s="40" t="s">
        <v>376</v>
      </c>
      <c r="I126" s="40" t="s">
        <v>377</v>
      </c>
      <c r="J126" s="40" t="s">
        <v>378</v>
      </c>
      <c r="K126" s="40" t="s">
        <v>378</v>
      </c>
      <c r="L126" s="40" t="s">
        <v>378</v>
      </c>
      <c r="M126" s="75"/>
      <c r="N126" s="80"/>
      <c r="O126" s="80"/>
      <c r="P126" s="76"/>
      <c r="Q126" s="2" t="s">
        <v>373</v>
      </c>
      <c r="R126" s="2" t="s">
        <v>379</v>
      </c>
    </row>
    <row r="127" spans="1:18" ht="28" customHeight="1" x14ac:dyDescent="0.25">
      <c r="A127" s="3">
        <v>122</v>
      </c>
      <c r="B127" s="49"/>
      <c r="C127" s="3">
        <v>2</v>
      </c>
      <c r="D127" s="3" t="s">
        <v>27</v>
      </c>
      <c r="E127" s="4" t="s">
        <v>380</v>
      </c>
      <c r="F127" s="19" t="s">
        <v>381</v>
      </c>
      <c r="G127" s="19" t="s">
        <v>381</v>
      </c>
      <c r="H127" s="19" t="s">
        <v>381</v>
      </c>
      <c r="I127" s="19" t="s">
        <v>382</v>
      </c>
      <c r="J127" s="19" t="s">
        <v>382</v>
      </c>
      <c r="K127" s="19" t="s">
        <v>382</v>
      </c>
      <c r="L127" s="19" t="s">
        <v>382</v>
      </c>
      <c r="M127" s="36" t="s">
        <v>383</v>
      </c>
      <c r="N127" s="37" t="s">
        <v>384</v>
      </c>
      <c r="O127" s="37" t="s">
        <v>384</v>
      </c>
      <c r="P127" s="38" t="s">
        <v>384</v>
      </c>
      <c r="Q127" s="2" t="s">
        <v>373</v>
      </c>
      <c r="R127" s="2" t="s">
        <v>385</v>
      </c>
    </row>
    <row r="128" spans="1:18" ht="31" customHeight="1" x14ac:dyDescent="0.25">
      <c r="A128" s="3">
        <v>123</v>
      </c>
      <c r="B128" s="49"/>
      <c r="C128" s="3">
        <v>3</v>
      </c>
      <c r="D128" s="3" t="s">
        <v>27</v>
      </c>
      <c r="E128" s="4" t="s">
        <v>386</v>
      </c>
      <c r="F128" s="19" t="s">
        <v>89</v>
      </c>
      <c r="G128" s="19"/>
      <c r="H128" s="19"/>
      <c r="I128" s="19" t="s">
        <v>70</v>
      </c>
      <c r="J128" s="19"/>
      <c r="K128" s="19"/>
      <c r="L128" s="19"/>
      <c r="M128" s="19" t="s">
        <v>70</v>
      </c>
      <c r="N128" s="19"/>
      <c r="O128" s="19"/>
      <c r="P128" s="19"/>
      <c r="Q128" s="2" t="s">
        <v>373</v>
      </c>
    </row>
    <row r="129" spans="1:18" ht="26" customHeight="1" x14ac:dyDescent="0.25">
      <c r="A129" s="3">
        <v>124</v>
      </c>
      <c r="B129" s="49"/>
      <c r="C129" s="3">
        <v>4</v>
      </c>
      <c r="D129" s="3" t="s">
        <v>27</v>
      </c>
      <c r="E129" s="4" t="s">
        <v>387</v>
      </c>
      <c r="F129" s="19" t="s">
        <v>89</v>
      </c>
      <c r="G129" s="19"/>
      <c r="H129" s="19"/>
      <c r="I129" s="19" t="s">
        <v>70</v>
      </c>
      <c r="J129" s="19"/>
      <c r="K129" s="19"/>
      <c r="L129" s="19"/>
      <c r="M129" s="19" t="s">
        <v>70</v>
      </c>
      <c r="N129" s="19"/>
      <c r="O129" s="19"/>
      <c r="P129" s="19"/>
      <c r="Q129" s="2" t="s">
        <v>373</v>
      </c>
    </row>
    <row r="130" spans="1:18" ht="24" customHeight="1" x14ac:dyDescent="0.25">
      <c r="A130" s="3">
        <v>125</v>
      </c>
      <c r="B130" s="49"/>
      <c r="C130" s="3">
        <v>5</v>
      </c>
      <c r="D130" s="3" t="s">
        <v>27</v>
      </c>
      <c r="E130" s="4" t="s">
        <v>388</v>
      </c>
      <c r="F130" s="19" t="s">
        <v>89</v>
      </c>
      <c r="G130" s="19"/>
      <c r="H130" s="19"/>
      <c r="I130" s="19" t="s">
        <v>70</v>
      </c>
      <c r="J130" s="19"/>
      <c r="K130" s="19"/>
      <c r="L130" s="19"/>
      <c r="M130" s="19" t="s">
        <v>70</v>
      </c>
      <c r="N130" s="19"/>
      <c r="O130" s="19"/>
      <c r="P130" s="19"/>
      <c r="Q130" s="2" t="s">
        <v>373</v>
      </c>
    </row>
    <row r="131" spans="1:18" ht="24" customHeight="1" x14ac:dyDescent="0.25">
      <c r="A131" s="3">
        <v>126</v>
      </c>
      <c r="B131" s="49"/>
      <c r="C131" s="3">
        <v>6</v>
      </c>
      <c r="D131" s="3" t="s">
        <v>27</v>
      </c>
      <c r="E131" s="4" t="s">
        <v>389</v>
      </c>
      <c r="F131" s="19" t="s">
        <v>89</v>
      </c>
      <c r="G131" s="19"/>
      <c r="H131" s="19"/>
      <c r="I131" s="19" t="s">
        <v>70</v>
      </c>
      <c r="J131" s="19"/>
      <c r="K131" s="19"/>
      <c r="L131" s="19"/>
      <c r="M131" s="19" t="s">
        <v>70</v>
      </c>
      <c r="N131" s="19"/>
      <c r="O131" s="19"/>
      <c r="P131" s="19"/>
      <c r="Q131" s="2" t="s">
        <v>373</v>
      </c>
    </row>
    <row r="132" spans="1:18" ht="24" customHeight="1" x14ac:dyDescent="0.25">
      <c r="A132" s="3">
        <v>127</v>
      </c>
      <c r="B132" s="49"/>
      <c r="C132" s="3">
        <v>7</v>
      </c>
      <c r="D132" s="3" t="s">
        <v>27</v>
      </c>
      <c r="E132" s="4" t="s">
        <v>390</v>
      </c>
      <c r="F132" s="19" t="s">
        <v>89</v>
      </c>
      <c r="G132" s="19"/>
      <c r="H132" s="19"/>
      <c r="I132" s="19" t="s">
        <v>70</v>
      </c>
      <c r="J132" s="19"/>
      <c r="K132" s="19"/>
      <c r="L132" s="19"/>
      <c r="M132" s="19" t="s">
        <v>70</v>
      </c>
      <c r="N132" s="19"/>
      <c r="O132" s="19"/>
      <c r="P132" s="19"/>
      <c r="Q132" s="2" t="s">
        <v>373</v>
      </c>
    </row>
    <row r="133" spans="1:18" ht="24" customHeight="1" x14ac:dyDescent="0.25">
      <c r="A133" s="3">
        <v>128</v>
      </c>
      <c r="B133" s="49"/>
      <c r="C133" s="3">
        <v>8</v>
      </c>
      <c r="D133" s="3" t="s">
        <v>27</v>
      </c>
      <c r="E133" s="4" t="s">
        <v>391</v>
      </c>
      <c r="F133" s="19" t="s">
        <v>89</v>
      </c>
      <c r="G133" s="19"/>
      <c r="H133" s="19"/>
      <c r="I133" s="19" t="s">
        <v>70</v>
      </c>
      <c r="J133" s="19"/>
      <c r="K133" s="19"/>
      <c r="L133" s="19"/>
      <c r="M133" s="19" t="s">
        <v>70</v>
      </c>
      <c r="N133" s="19"/>
      <c r="O133" s="19"/>
      <c r="P133" s="19"/>
      <c r="Q133" s="2" t="s">
        <v>373</v>
      </c>
    </row>
    <row r="134" spans="1:18" ht="24" customHeight="1" x14ac:dyDescent="0.25">
      <c r="A134" s="3">
        <v>129</v>
      </c>
      <c r="B134" s="49"/>
      <c r="C134" s="3">
        <v>9</v>
      </c>
      <c r="D134" s="3" t="s">
        <v>27</v>
      </c>
      <c r="E134" s="4" t="s">
        <v>392</v>
      </c>
      <c r="F134" s="19" t="s">
        <v>89</v>
      </c>
      <c r="G134" s="19"/>
      <c r="H134" s="19"/>
      <c r="I134" s="19" t="s">
        <v>70</v>
      </c>
      <c r="J134" s="19"/>
      <c r="K134" s="19"/>
      <c r="L134" s="19"/>
      <c r="M134" s="19" t="s">
        <v>70</v>
      </c>
      <c r="N134" s="19"/>
      <c r="O134" s="19"/>
      <c r="P134" s="19"/>
      <c r="Q134" s="2" t="s">
        <v>373</v>
      </c>
    </row>
    <row r="135" spans="1:18" ht="24" customHeight="1" x14ac:dyDescent="0.25">
      <c r="A135" s="3">
        <v>130</v>
      </c>
      <c r="B135" s="49"/>
      <c r="C135" s="3">
        <v>10</v>
      </c>
      <c r="D135" s="3" t="s">
        <v>27</v>
      </c>
      <c r="E135" s="4" t="s">
        <v>393</v>
      </c>
      <c r="F135" s="19" t="s">
        <v>89</v>
      </c>
      <c r="G135" s="19"/>
      <c r="H135" s="19"/>
      <c r="I135" s="19" t="s">
        <v>70</v>
      </c>
      <c r="J135" s="19"/>
      <c r="K135" s="19"/>
      <c r="L135" s="19"/>
      <c r="M135" s="19" t="s">
        <v>70</v>
      </c>
      <c r="N135" s="19"/>
      <c r="O135" s="19"/>
      <c r="P135" s="19"/>
      <c r="Q135" s="2" t="s">
        <v>373</v>
      </c>
    </row>
    <row r="136" spans="1:18" ht="24" customHeight="1" x14ac:dyDescent="0.25">
      <c r="A136" s="3">
        <v>131</v>
      </c>
      <c r="B136" s="49"/>
      <c r="C136" s="3">
        <v>11</v>
      </c>
      <c r="D136" s="3" t="s">
        <v>27</v>
      </c>
      <c r="E136" s="4" t="s">
        <v>394</v>
      </c>
      <c r="F136" s="19" t="s">
        <v>89</v>
      </c>
      <c r="G136" s="19"/>
      <c r="H136" s="19"/>
      <c r="I136" s="19" t="s">
        <v>70</v>
      </c>
      <c r="J136" s="19"/>
      <c r="K136" s="19"/>
      <c r="L136" s="19"/>
      <c r="M136" s="19" t="s">
        <v>70</v>
      </c>
      <c r="N136" s="19"/>
      <c r="O136" s="19"/>
      <c r="P136" s="19"/>
      <c r="Q136" s="2" t="s">
        <v>373</v>
      </c>
    </row>
    <row r="137" spans="1:18" ht="24" customHeight="1" x14ac:dyDescent="0.25">
      <c r="A137" s="3">
        <v>132</v>
      </c>
      <c r="B137" s="49"/>
      <c r="C137" s="3">
        <v>12</v>
      </c>
      <c r="D137" s="3" t="s">
        <v>27</v>
      </c>
      <c r="E137" s="4" t="s">
        <v>395</v>
      </c>
      <c r="F137" s="19" t="s">
        <v>89</v>
      </c>
      <c r="G137" s="19"/>
      <c r="H137" s="19"/>
      <c r="I137" s="19" t="s">
        <v>70</v>
      </c>
      <c r="J137" s="19"/>
      <c r="K137" s="19"/>
      <c r="L137" s="19"/>
      <c r="M137" s="19" t="s">
        <v>70</v>
      </c>
      <c r="N137" s="19"/>
      <c r="O137" s="19"/>
      <c r="P137" s="19"/>
      <c r="Q137" s="2" t="s">
        <v>373</v>
      </c>
    </row>
    <row r="138" spans="1:18" ht="24" customHeight="1" x14ac:dyDescent="0.25">
      <c r="A138" s="3">
        <v>133</v>
      </c>
      <c r="B138" s="49"/>
      <c r="C138" s="3">
        <v>13</v>
      </c>
      <c r="D138" s="3" t="s">
        <v>27</v>
      </c>
      <c r="E138" s="4" t="s">
        <v>396</v>
      </c>
      <c r="F138" s="19" t="s">
        <v>89</v>
      </c>
      <c r="G138" s="19"/>
      <c r="H138" s="19"/>
      <c r="I138" s="19" t="s">
        <v>70</v>
      </c>
      <c r="J138" s="19"/>
      <c r="K138" s="19"/>
      <c r="L138" s="19"/>
      <c r="M138" s="19" t="s">
        <v>70</v>
      </c>
      <c r="N138" s="19"/>
      <c r="O138" s="19"/>
      <c r="P138" s="19"/>
      <c r="Q138" s="2" t="s">
        <v>373</v>
      </c>
    </row>
    <row r="139" spans="1:18" ht="24" customHeight="1" x14ac:dyDescent="0.25">
      <c r="A139" s="3">
        <v>134</v>
      </c>
      <c r="B139" s="49"/>
      <c r="C139" s="3">
        <v>14</v>
      </c>
      <c r="D139" s="3" t="s">
        <v>27</v>
      </c>
      <c r="E139" s="4" t="s">
        <v>397</v>
      </c>
      <c r="F139" s="19" t="s">
        <v>89</v>
      </c>
      <c r="G139" s="19"/>
      <c r="H139" s="19"/>
      <c r="I139" s="19" t="s">
        <v>70</v>
      </c>
      <c r="J139" s="19"/>
      <c r="K139" s="19"/>
      <c r="L139" s="19"/>
      <c r="M139" s="19" t="s">
        <v>70</v>
      </c>
      <c r="N139" s="19"/>
      <c r="O139" s="19"/>
      <c r="P139" s="19"/>
      <c r="Q139" s="2" t="s">
        <v>373</v>
      </c>
    </row>
    <row r="140" spans="1:18" ht="24" customHeight="1" x14ac:dyDescent="0.25">
      <c r="A140" s="3">
        <v>135</v>
      </c>
      <c r="B140" s="50"/>
      <c r="C140" s="3">
        <v>15</v>
      </c>
      <c r="D140" s="3" t="s">
        <v>27</v>
      </c>
      <c r="E140" s="4" t="s">
        <v>398</v>
      </c>
      <c r="F140" s="19" t="s">
        <v>89</v>
      </c>
      <c r="G140" s="19"/>
      <c r="H140" s="19"/>
      <c r="I140" s="19" t="s">
        <v>70</v>
      </c>
      <c r="J140" s="19"/>
      <c r="K140" s="19"/>
      <c r="L140" s="19"/>
      <c r="M140" s="19" t="s">
        <v>70</v>
      </c>
      <c r="N140" s="19"/>
      <c r="O140" s="19"/>
      <c r="P140" s="19"/>
      <c r="Q140" s="2" t="s">
        <v>373</v>
      </c>
    </row>
    <row r="141" spans="1:18" ht="80" customHeight="1" x14ac:dyDescent="0.25">
      <c r="A141" s="3">
        <v>136</v>
      </c>
      <c r="B141" s="14" t="s">
        <v>399</v>
      </c>
      <c r="C141" s="3" t="s">
        <v>70</v>
      </c>
      <c r="D141" s="3" t="s">
        <v>120</v>
      </c>
      <c r="E141" s="4" t="s">
        <v>400</v>
      </c>
      <c r="F141" s="36" t="s">
        <v>401</v>
      </c>
      <c r="G141" s="37"/>
      <c r="H141" s="38"/>
      <c r="I141" s="36" t="s">
        <v>402</v>
      </c>
      <c r="J141" s="37"/>
      <c r="K141" s="37"/>
      <c r="L141" s="38"/>
      <c r="M141" s="36" t="s">
        <v>403</v>
      </c>
      <c r="N141" s="37"/>
      <c r="O141" s="37"/>
      <c r="P141" s="38"/>
      <c r="Q141" s="2" t="s">
        <v>373</v>
      </c>
      <c r="R141" s="2" t="s">
        <v>404</v>
      </c>
    </row>
    <row r="142" spans="1:18" ht="46" customHeight="1" x14ac:dyDescent="0.25">
      <c r="A142" s="3">
        <v>137</v>
      </c>
      <c r="B142" s="9" t="str">
        <f>IFERROR((VALUE(TRIM(RIGHT(B141,LEN(B141)-FIND("-",B141))))+1)&amp;"-"&amp;IF(UPPER(TRIM(D142))="INT",VALUE(TRIM(RIGHT(B141,LEN(B141)-FIND("-",B141))))+1,IF(UPPER(TRIM(D142))="UINT",VALUE(TRIM(RIGHT(B141,LEN(B141)-FIND("-",B141))))+2,IF(UPPER(TRIM(D142))="REAL",VALUE(TRIM(RIGHT(B141,LEN(B141)-FIND("-",B141))))+2,IF(UPPER(TRIM(D142))="DINT",VALUE(TRIM(RIGHT(B141,LEN(B141)-FIND("-",B141))))+2,IF(UPPER(TRIM(D142))="UDINT",VALUE(TRIM(RIGHT(B141,LEN(B141)-FIND("-",B141))))+2,IF(LEFT(UPPER(TRIM(D142)),6)="STRING",VALUE(TRIM(RIGHT(B141,LEN(B141)-FIND("-",B141))))+VALUE(MID(UPPER(TRIM(D142)),FIND("[",UPPER(TRIM(D142)))+1,FIND("]",UPPER(TRIM(D142)))-FIND("[",UPPER(TRIM(D142)))-1)),"类型错误")))))),"格式错误")</f>
        <v>103-104</v>
      </c>
      <c r="C142" s="3" t="s">
        <v>70</v>
      </c>
      <c r="D142" s="3" t="s">
        <v>187</v>
      </c>
      <c r="E142" s="4" t="s">
        <v>405</v>
      </c>
      <c r="F142" s="36" t="s">
        <v>406</v>
      </c>
      <c r="G142" s="37" t="s">
        <v>406</v>
      </c>
      <c r="H142" s="38" t="s">
        <v>406</v>
      </c>
      <c r="I142" s="36" t="s">
        <v>407</v>
      </c>
      <c r="J142" s="37"/>
      <c r="K142" s="37"/>
      <c r="L142" s="38"/>
      <c r="M142" s="36" t="s">
        <v>408</v>
      </c>
      <c r="N142" s="37"/>
      <c r="O142" s="37"/>
      <c r="P142" s="38"/>
      <c r="Q142" s="2" t="s">
        <v>373</v>
      </c>
      <c r="R142" s="2" t="s">
        <v>409</v>
      </c>
    </row>
    <row r="143" spans="1:18" ht="45" customHeight="1" x14ac:dyDescent="0.25">
      <c r="A143" s="3">
        <v>138</v>
      </c>
      <c r="B143" s="9" t="str">
        <f>IFERROR((VALUE(TRIM(RIGHT(B142,LEN(B142)-FIND("-",B142))))+1)&amp;"-"&amp;IF(UPPER(TRIM(D143))="INT",VALUE(TRIM(RIGHT(B142,LEN(B142)-FIND("-",B142))))+1,IF(UPPER(TRIM(D143))="UINT",VALUE(TRIM(RIGHT(B142,LEN(B142)-FIND("-",B142))))+2,IF(UPPER(TRIM(D143))="REAL",VALUE(TRIM(RIGHT(B142,LEN(B142)-FIND("-",B142))))+2,IF(UPPER(TRIM(D143))="DINT",VALUE(TRIM(RIGHT(B142,LEN(B142)-FIND("-",B142))))+2,IF(UPPER(TRIM(D143))="UDINT",VALUE(TRIM(RIGHT(B142,LEN(B142)-FIND("-",B142))))+2,IF(LEFT(UPPER(TRIM(D143)),6)="STRING",VALUE(TRIM(RIGHT(B142,LEN(B142)-FIND("-",B142))))+VALUE(MID(UPPER(TRIM(D143)),FIND("[",UPPER(TRIM(D143)))+1,FIND("]",UPPER(TRIM(D143)))-FIND("[",UPPER(TRIM(D143)))-1)),"类型错误")))))),"格式错误")</f>
        <v>105-106</v>
      </c>
      <c r="C143" s="3" t="s">
        <v>70</v>
      </c>
      <c r="D143" s="3" t="s">
        <v>187</v>
      </c>
      <c r="E143" s="4" t="s">
        <v>410</v>
      </c>
      <c r="F143" s="36" t="s">
        <v>411</v>
      </c>
      <c r="G143" s="37" t="s">
        <v>411</v>
      </c>
      <c r="H143" s="38" t="s">
        <v>411</v>
      </c>
      <c r="I143" s="36" t="s">
        <v>412</v>
      </c>
      <c r="J143" s="37"/>
      <c r="K143" s="37"/>
      <c r="L143" s="38"/>
      <c r="M143" s="36" t="s">
        <v>184</v>
      </c>
      <c r="N143" s="37"/>
      <c r="O143" s="37"/>
      <c r="P143" s="38"/>
      <c r="Q143" s="2" t="s">
        <v>373</v>
      </c>
      <c r="R143" s="2" t="s">
        <v>413</v>
      </c>
    </row>
    <row r="144" spans="1:18" ht="37" customHeight="1" x14ac:dyDescent="0.25">
      <c r="A144" s="3">
        <v>139</v>
      </c>
      <c r="B144" s="9" t="str">
        <f>IFERROR((VALUE(TRIM(RIGHT(B143,LEN(B143)-FIND("-",B143))))+1)&amp;"-"&amp;IF(UPPER(TRIM(D144))="INT",VALUE(TRIM(RIGHT(B143,LEN(B143)-FIND("-",B143))))+1,IF(UPPER(TRIM(D144))="UINT",VALUE(TRIM(RIGHT(B143,LEN(B143)-FIND("-",B143))))+2,IF(UPPER(TRIM(D144))="REAL",VALUE(TRIM(RIGHT(B143,LEN(B143)-FIND("-",B143))))+2,IF(UPPER(TRIM(D144))="DINT",VALUE(TRIM(RIGHT(B143,LEN(B143)-FIND("-",B143))))+2,IF(UPPER(TRIM(D144))="UDINT",VALUE(TRIM(RIGHT(B143,LEN(B143)-FIND("-",B143))))+2,IF(LEFT(UPPER(TRIM(D144)),6)="STRING",VALUE(TRIM(RIGHT(B143,LEN(B143)-FIND("-",B143))))+VALUE(MID(UPPER(TRIM(D144)),FIND("[",UPPER(TRIM(D144)))+1,FIND("]",UPPER(TRIM(D144)))-FIND("[",UPPER(TRIM(D144)))-1)),"类型错误")))))),"格式错误")</f>
        <v>107-108</v>
      </c>
      <c r="C144" s="3" t="s">
        <v>70</v>
      </c>
      <c r="D144" s="3" t="s">
        <v>187</v>
      </c>
      <c r="E144" s="4" t="s">
        <v>414</v>
      </c>
      <c r="F144" s="36" t="s">
        <v>415</v>
      </c>
      <c r="G144" s="37" t="s">
        <v>415</v>
      </c>
      <c r="H144" s="38" t="s">
        <v>415</v>
      </c>
      <c r="I144" s="36" t="s">
        <v>416</v>
      </c>
      <c r="J144" s="37"/>
      <c r="K144" s="37"/>
      <c r="L144" s="38"/>
      <c r="M144" s="33" t="s">
        <v>417</v>
      </c>
      <c r="N144" s="34"/>
      <c r="O144" s="34"/>
      <c r="P144" s="35"/>
      <c r="Q144" s="2" t="s">
        <v>373</v>
      </c>
      <c r="R144" s="2" t="s">
        <v>409</v>
      </c>
    </row>
    <row r="145" spans="1:18" ht="36" customHeight="1" x14ac:dyDescent="0.25">
      <c r="A145" s="3">
        <v>140</v>
      </c>
      <c r="B145" s="9" t="str">
        <f>IFERROR((VALUE(TRIM(RIGHT(B144,LEN(B144)-FIND("-",B144))))+1)&amp;"-"&amp;IF(UPPER(TRIM(D145))="INT",VALUE(TRIM(RIGHT(B144,LEN(B144)-FIND("-",B144))))+1,IF(UPPER(TRIM(D145))="UINT",VALUE(TRIM(RIGHT(B144,LEN(B144)-FIND("-",B144))))+2,IF(UPPER(TRIM(D145))="REAL",VALUE(TRIM(RIGHT(B144,LEN(B144)-FIND("-",B144))))+2,IF(UPPER(TRIM(D145))="DINT",VALUE(TRIM(RIGHT(B144,LEN(B144)-FIND("-",B144))))+2,IF(UPPER(TRIM(D145))="UDINT",VALUE(TRIM(RIGHT(B144,LEN(B144)-FIND("-",B144))))+2,IF(LEFT(UPPER(TRIM(D145)),6)="STRING",VALUE(TRIM(RIGHT(B144,LEN(B144)-FIND("-",B144))))+VALUE(MID(UPPER(TRIM(D145)),FIND("[",UPPER(TRIM(D145)))+1,FIND("]",UPPER(TRIM(D145)))-FIND("[",UPPER(TRIM(D145)))-1)),"类型错误")))))),"格式错误")</f>
        <v>109-110</v>
      </c>
      <c r="C145" s="3" t="s">
        <v>70</v>
      </c>
      <c r="D145" s="3" t="s">
        <v>187</v>
      </c>
      <c r="E145" s="4" t="s">
        <v>418</v>
      </c>
      <c r="F145" s="36" t="s">
        <v>419</v>
      </c>
      <c r="G145" s="37" t="s">
        <v>419</v>
      </c>
      <c r="H145" s="38" t="s">
        <v>419</v>
      </c>
      <c r="I145" s="36" t="s">
        <v>420</v>
      </c>
      <c r="J145" s="37"/>
      <c r="K145" s="37"/>
      <c r="L145" s="38"/>
      <c r="M145" s="75"/>
      <c r="N145" s="80"/>
      <c r="O145" s="80"/>
      <c r="P145" s="76"/>
      <c r="Q145" s="2" t="s">
        <v>373</v>
      </c>
      <c r="R145" s="2" t="s">
        <v>409</v>
      </c>
    </row>
    <row r="146" spans="1:18" ht="38" customHeight="1" x14ac:dyDescent="0.25">
      <c r="A146" s="3">
        <v>141</v>
      </c>
      <c r="B146" s="9" t="str">
        <f t="shared" ref="B146:B153" si="3">IFERROR((VALUE(TRIM(RIGHT(B145,LEN(B145)-FIND("-",B145))))+1)&amp;"-"&amp;IF(UPPER(TRIM(D146))="INT",VALUE(TRIM(RIGHT(B145,LEN(B145)-FIND("-",B145))))+1,IF(UPPER(TRIM(D146))="UINT",VALUE(TRIM(RIGHT(B145,LEN(B145)-FIND("-",B145))))+2,IF(UPPER(TRIM(D146))="REAL",VALUE(TRIM(RIGHT(B145,LEN(B145)-FIND("-",B145))))+2,IF(UPPER(TRIM(D146))="DINT",VALUE(TRIM(RIGHT(B145,LEN(B145)-FIND("-",B145))))+2,IF(UPPER(TRIM(D146))="UDINT",VALUE(TRIM(RIGHT(B145,LEN(B145)-FIND("-",B145))))+2,IF(LEFT(UPPER(TRIM(D146)),6)="STRING",VALUE(TRIM(RIGHT(B145,LEN(B145)-FIND("-",B145))))+VALUE(MID(UPPER(TRIM(D146)),FIND("[",UPPER(TRIM(D146)))+1,FIND("]",UPPER(TRIM(D146)))-FIND("[",UPPER(TRIM(D146)))-1)),"类型错误")))))),"格式错误")</f>
        <v>111-112</v>
      </c>
      <c r="C146" s="3" t="s">
        <v>70</v>
      </c>
      <c r="D146" s="3" t="s">
        <v>187</v>
      </c>
      <c r="E146" s="4" t="s">
        <v>421</v>
      </c>
      <c r="F146" s="41" t="s">
        <v>422</v>
      </c>
      <c r="G146" s="42" t="s">
        <v>419</v>
      </c>
      <c r="H146" s="43" t="s">
        <v>419</v>
      </c>
      <c r="I146" s="36" t="s">
        <v>423</v>
      </c>
      <c r="J146" s="37"/>
      <c r="K146" s="37"/>
      <c r="L146" s="38"/>
      <c r="M146" s="75"/>
      <c r="N146" s="80"/>
      <c r="O146" s="80"/>
      <c r="P146" s="76"/>
      <c r="Q146" s="2" t="s">
        <v>373</v>
      </c>
      <c r="R146" s="2" t="s">
        <v>409</v>
      </c>
    </row>
    <row r="147" spans="1:18" ht="38" customHeight="1" x14ac:dyDescent="0.25">
      <c r="A147" s="3">
        <v>142</v>
      </c>
      <c r="B147" s="9" t="str">
        <f t="shared" si="3"/>
        <v>113-114</v>
      </c>
      <c r="C147" s="3" t="s">
        <v>70</v>
      </c>
      <c r="D147" s="4" t="s">
        <v>187</v>
      </c>
      <c r="E147" s="4" t="s">
        <v>424</v>
      </c>
      <c r="F147" s="36" t="s">
        <v>425</v>
      </c>
      <c r="G147" s="37" t="s">
        <v>425</v>
      </c>
      <c r="H147" s="38" t="s">
        <v>425</v>
      </c>
      <c r="I147" s="36" t="s">
        <v>426</v>
      </c>
      <c r="J147" s="37"/>
      <c r="K147" s="37"/>
      <c r="L147" s="38"/>
      <c r="M147" s="33" t="s">
        <v>427</v>
      </c>
      <c r="N147" s="34"/>
      <c r="O147" s="34"/>
      <c r="P147" s="35"/>
      <c r="Q147" s="2" t="s">
        <v>373</v>
      </c>
      <c r="R147" s="2" t="s">
        <v>413</v>
      </c>
    </row>
    <row r="148" spans="1:18" ht="41" customHeight="1" x14ac:dyDescent="0.25">
      <c r="A148" s="3">
        <v>143</v>
      </c>
      <c r="B148" s="9" t="str">
        <f t="shared" si="3"/>
        <v>115-116</v>
      </c>
      <c r="C148" s="3" t="s">
        <v>70</v>
      </c>
      <c r="D148" s="3" t="s">
        <v>187</v>
      </c>
      <c r="E148" s="4" t="s">
        <v>428</v>
      </c>
      <c r="F148" s="36" t="s">
        <v>429</v>
      </c>
      <c r="G148" s="37" t="s">
        <v>429</v>
      </c>
      <c r="H148" s="38" t="s">
        <v>429</v>
      </c>
      <c r="I148" s="36" t="s">
        <v>430</v>
      </c>
      <c r="J148" s="37"/>
      <c r="K148" s="37"/>
      <c r="L148" s="38"/>
      <c r="M148" s="77"/>
      <c r="N148" s="78"/>
      <c r="O148" s="78"/>
      <c r="P148" s="79"/>
      <c r="Q148" s="2" t="s">
        <v>373</v>
      </c>
      <c r="R148" s="2" t="s">
        <v>413</v>
      </c>
    </row>
    <row r="149" spans="1:18" ht="32" customHeight="1" x14ac:dyDescent="0.25">
      <c r="A149" s="3">
        <v>144</v>
      </c>
      <c r="B149" s="9" t="str">
        <f t="shared" si="3"/>
        <v>117-118</v>
      </c>
      <c r="C149" s="3"/>
      <c r="D149" s="3" t="s">
        <v>187</v>
      </c>
      <c r="E149" s="4" t="s">
        <v>431</v>
      </c>
      <c r="F149" s="44" t="s">
        <v>432</v>
      </c>
      <c r="G149" s="45"/>
      <c r="H149" s="46"/>
      <c r="I149" s="36" t="s">
        <v>433</v>
      </c>
      <c r="J149" s="37"/>
      <c r="K149" s="37"/>
      <c r="L149" s="38"/>
      <c r="M149" s="19" t="s">
        <v>190</v>
      </c>
      <c r="N149" s="19"/>
      <c r="O149" s="19"/>
      <c r="P149" s="19"/>
      <c r="Q149" s="2" t="s">
        <v>373</v>
      </c>
      <c r="R149" s="2" t="s">
        <v>409</v>
      </c>
    </row>
    <row r="150" spans="1:18" ht="29" customHeight="1" x14ac:dyDescent="0.25">
      <c r="A150" s="3">
        <v>145</v>
      </c>
      <c r="B150" s="9" t="str">
        <f t="shared" si="3"/>
        <v>119-120</v>
      </c>
      <c r="C150" s="3"/>
      <c r="D150" s="3" t="s">
        <v>187</v>
      </c>
      <c r="E150" s="4" t="s">
        <v>434</v>
      </c>
      <c r="F150" s="44" t="s">
        <v>435</v>
      </c>
      <c r="G150" s="45"/>
      <c r="H150" s="46"/>
      <c r="I150" s="36" t="s">
        <v>433</v>
      </c>
      <c r="J150" s="37"/>
      <c r="K150" s="37"/>
      <c r="L150" s="38"/>
      <c r="M150" s="19" t="s">
        <v>190</v>
      </c>
      <c r="N150" s="19"/>
      <c r="O150" s="19"/>
      <c r="P150" s="19"/>
      <c r="Q150" s="2" t="s">
        <v>373</v>
      </c>
      <c r="R150" s="2" t="s">
        <v>409</v>
      </c>
    </row>
    <row r="151" spans="1:18" ht="24" customHeight="1" x14ac:dyDescent="0.25">
      <c r="A151" s="3">
        <v>146</v>
      </c>
      <c r="B151" s="9" t="str">
        <f t="shared" si="3"/>
        <v>121-121</v>
      </c>
      <c r="C151" s="3"/>
      <c r="D151" s="3" t="s">
        <v>120</v>
      </c>
      <c r="E151" s="4" t="s">
        <v>436</v>
      </c>
      <c r="F151" s="19" t="s">
        <v>89</v>
      </c>
      <c r="G151" s="19"/>
      <c r="H151" s="19"/>
      <c r="I151" s="19" t="s">
        <v>70</v>
      </c>
      <c r="J151" s="19"/>
      <c r="K151" s="19"/>
      <c r="L151" s="19"/>
      <c r="M151" s="19"/>
      <c r="N151" s="19"/>
      <c r="O151" s="19"/>
      <c r="P151" s="19"/>
    </row>
    <row r="152" spans="1:18" ht="24" customHeight="1" x14ac:dyDescent="0.25">
      <c r="A152" s="3">
        <v>147</v>
      </c>
      <c r="B152" s="9" t="str">
        <f t="shared" si="3"/>
        <v>122-122</v>
      </c>
      <c r="C152" s="3"/>
      <c r="D152" s="3" t="s">
        <v>120</v>
      </c>
      <c r="E152" s="4" t="s">
        <v>437</v>
      </c>
      <c r="F152" s="19" t="s">
        <v>89</v>
      </c>
      <c r="G152" s="19"/>
      <c r="H152" s="19"/>
      <c r="I152" s="19" t="s">
        <v>70</v>
      </c>
      <c r="J152" s="19"/>
      <c r="K152" s="19"/>
      <c r="L152" s="19"/>
      <c r="M152" s="19"/>
      <c r="N152" s="19"/>
      <c r="O152" s="19"/>
      <c r="P152" s="19"/>
    </row>
    <row r="153" spans="1:18" ht="24" customHeight="1" x14ac:dyDescent="0.25">
      <c r="A153" s="3">
        <v>148</v>
      </c>
      <c r="B153" s="9" t="str">
        <f t="shared" si="3"/>
        <v>123-123</v>
      </c>
      <c r="C153" s="3"/>
      <c r="D153" s="3" t="s">
        <v>120</v>
      </c>
      <c r="E153" s="4" t="s">
        <v>438</v>
      </c>
      <c r="F153" s="19" t="s">
        <v>89</v>
      </c>
      <c r="G153" s="19"/>
      <c r="H153" s="19"/>
      <c r="I153" s="19" t="s">
        <v>70</v>
      </c>
      <c r="J153" s="19"/>
      <c r="K153" s="19"/>
      <c r="L153" s="19"/>
      <c r="M153" s="19"/>
      <c r="N153" s="19"/>
      <c r="O153" s="19"/>
      <c r="P153" s="19"/>
    </row>
    <row r="154" spans="1:18" ht="24" customHeight="1" x14ac:dyDescent="0.25">
      <c r="A154" s="3">
        <v>149</v>
      </c>
      <c r="B154" s="9" t="str">
        <f t="shared" ref="B154:B178" si="4">IFERROR((VALUE(TRIM(RIGHT(B153,LEN(B153)-FIND("-",B153))))+1)&amp;"-"&amp;IF(UPPER(TRIM(D154))="INT",VALUE(TRIM(RIGHT(B153,LEN(B153)-FIND("-",B153))))+1,IF(UPPER(TRIM(D154))="UINT",VALUE(TRIM(RIGHT(B153,LEN(B153)-FIND("-",B153))))+2,IF(UPPER(TRIM(D154))="REAL",VALUE(TRIM(RIGHT(B153,LEN(B153)-FIND("-",B153))))+2,IF(UPPER(TRIM(D154))="DINT",VALUE(TRIM(RIGHT(B153,LEN(B153)-FIND("-",B153))))+2,IF(UPPER(TRIM(D154))="UDINT",VALUE(TRIM(RIGHT(B153,LEN(B153)-FIND("-",B153))))+2,IF(LEFT(UPPER(TRIM(D154)),6)="STRING",VALUE(TRIM(RIGHT(B153,LEN(B153)-FIND("-",B153))))+VALUE(MID(UPPER(TRIM(D154)),FIND("[",UPPER(TRIM(D154)))+1,FIND("]",UPPER(TRIM(D154)))-FIND("[",UPPER(TRIM(D154)))-1)),"类型错误")))))),"格式错误")</f>
        <v>124-125</v>
      </c>
      <c r="C154" s="3" t="s">
        <v>70</v>
      </c>
      <c r="D154" s="3" t="s">
        <v>187</v>
      </c>
      <c r="E154" s="4" t="s">
        <v>439</v>
      </c>
      <c r="F154" s="47" t="s">
        <v>440</v>
      </c>
      <c r="G154" s="47"/>
      <c r="H154" s="47"/>
      <c r="I154" s="19" t="s">
        <v>70</v>
      </c>
      <c r="J154" s="19"/>
      <c r="K154" s="19"/>
      <c r="L154" s="19"/>
      <c r="M154" s="33" t="s">
        <v>441</v>
      </c>
      <c r="N154" s="34"/>
      <c r="O154" s="34"/>
      <c r="P154" s="35"/>
      <c r="Q154" s="2" t="s">
        <v>32</v>
      </c>
    </row>
    <row r="155" spans="1:18" ht="24" customHeight="1" x14ac:dyDescent="0.25">
      <c r="A155" s="3">
        <v>150</v>
      </c>
      <c r="B155" s="9" t="str">
        <f t="shared" si="4"/>
        <v>126-127</v>
      </c>
      <c r="C155" s="3" t="s">
        <v>70</v>
      </c>
      <c r="D155" s="3" t="s">
        <v>187</v>
      </c>
      <c r="E155" s="4" t="s">
        <v>442</v>
      </c>
      <c r="F155" s="47" t="s">
        <v>443</v>
      </c>
      <c r="G155" s="47"/>
      <c r="H155" s="47"/>
      <c r="I155" s="19" t="s">
        <v>70</v>
      </c>
      <c r="J155" s="19"/>
      <c r="K155" s="19"/>
      <c r="L155" s="19"/>
      <c r="M155" s="75"/>
      <c r="N155" s="52"/>
      <c r="O155" s="52"/>
      <c r="P155" s="76"/>
      <c r="Q155" s="2" t="s">
        <v>32</v>
      </c>
    </row>
    <row r="156" spans="1:18" ht="24" customHeight="1" x14ac:dyDescent="0.25">
      <c r="A156" s="3">
        <v>151</v>
      </c>
      <c r="B156" s="9" t="str">
        <f t="shared" si="4"/>
        <v>128-129</v>
      </c>
      <c r="C156" s="3" t="s">
        <v>70</v>
      </c>
      <c r="D156" s="3" t="s">
        <v>187</v>
      </c>
      <c r="E156" s="4" t="s">
        <v>444</v>
      </c>
      <c r="F156" s="47" t="s">
        <v>445</v>
      </c>
      <c r="G156" s="47"/>
      <c r="H156" s="47"/>
      <c r="I156" s="19" t="s">
        <v>70</v>
      </c>
      <c r="J156" s="19"/>
      <c r="K156" s="19"/>
      <c r="L156" s="19"/>
      <c r="M156" s="77"/>
      <c r="N156" s="78"/>
      <c r="O156" s="78"/>
      <c r="P156" s="79"/>
      <c r="Q156" s="2" t="s">
        <v>32</v>
      </c>
    </row>
    <row r="157" spans="1:18" ht="24" customHeight="1" x14ac:dyDescent="0.25">
      <c r="A157" s="3">
        <v>152</v>
      </c>
      <c r="B157" s="9" t="str">
        <f t="shared" si="4"/>
        <v>130-131</v>
      </c>
      <c r="C157" s="3" t="s">
        <v>70</v>
      </c>
      <c r="D157" s="3" t="s">
        <v>187</v>
      </c>
      <c r="E157" s="4" t="s">
        <v>446</v>
      </c>
      <c r="F157" s="47" t="s">
        <v>447</v>
      </c>
      <c r="G157" s="47"/>
      <c r="H157" s="47"/>
      <c r="I157" s="19" t="s">
        <v>70</v>
      </c>
      <c r="J157" s="19"/>
      <c r="K157" s="19"/>
      <c r="L157" s="19"/>
      <c r="M157" s="33" t="s">
        <v>448</v>
      </c>
      <c r="N157" s="34"/>
      <c r="O157" s="34"/>
      <c r="P157" s="35"/>
      <c r="Q157" s="2" t="s">
        <v>32</v>
      </c>
    </row>
    <row r="158" spans="1:18" ht="24" customHeight="1" x14ac:dyDescent="0.25">
      <c r="A158" s="3">
        <v>153</v>
      </c>
      <c r="B158" s="9" t="str">
        <f t="shared" si="4"/>
        <v>132-133</v>
      </c>
      <c r="C158" s="3" t="s">
        <v>70</v>
      </c>
      <c r="D158" s="3" t="s">
        <v>187</v>
      </c>
      <c r="E158" s="4" t="s">
        <v>449</v>
      </c>
      <c r="F158" s="47" t="s">
        <v>450</v>
      </c>
      <c r="G158" s="47"/>
      <c r="H158" s="47"/>
      <c r="I158" s="19" t="s">
        <v>70</v>
      </c>
      <c r="J158" s="19"/>
      <c r="K158" s="19"/>
      <c r="L158" s="19"/>
      <c r="M158" s="75"/>
      <c r="N158" s="52"/>
      <c r="O158" s="52"/>
      <c r="P158" s="76"/>
      <c r="Q158" s="2" t="s">
        <v>32</v>
      </c>
    </row>
    <row r="159" spans="1:18" ht="24" customHeight="1" x14ac:dyDescent="0.25">
      <c r="A159" s="3">
        <v>154</v>
      </c>
      <c r="B159" s="9" t="str">
        <f t="shared" si="4"/>
        <v>134-135</v>
      </c>
      <c r="C159" s="3" t="s">
        <v>70</v>
      </c>
      <c r="D159" s="3" t="s">
        <v>187</v>
      </c>
      <c r="E159" s="4" t="s">
        <v>451</v>
      </c>
      <c r="F159" s="47" t="s">
        <v>452</v>
      </c>
      <c r="G159" s="47"/>
      <c r="H159" s="47"/>
      <c r="I159" s="19" t="s">
        <v>70</v>
      </c>
      <c r="J159" s="19"/>
      <c r="K159" s="19"/>
      <c r="L159" s="19"/>
      <c r="M159" s="77"/>
      <c r="N159" s="78"/>
      <c r="O159" s="78"/>
      <c r="P159" s="79"/>
      <c r="Q159" s="2" t="s">
        <v>32</v>
      </c>
    </row>
    <row r="160" spans="1:18" ht="24" customHeight="1" x14ac:dyDescent="0.25">
      <c r="A160" s="3">
        <v>155</v>
      </c>
      <c r="B160" s="9" t="str">
        <f t="shared" si="4"/>
        <v>136-137</v>
      </c>
      <c r="C160" s="3" t="s">
        <v>70</v>
      </c>
      <c r="D160" s="3" t="s">
        <v>187</v>
      </c>
      <c r="E160" s="4" t="s">
        <v>453</v>
      </c>
      <c r="F160" s="47" t="s">
        <v>454</v>
      </c>
      <c r="G160" s="47"/>
      <c r="H160" s="47"/>
      <c r="I160" s="19" t="s">
        <v>70</v>
      </c>
      <c r="J160" s="19"/>
      <c r="K160" s="19"/>
      <c r="L160" s="19"/>
      <c r="M160" s="33" t="s">
        <v>455</v>
      </c>
      <c r="N160" s="34"/>
      <c r="O160" s="34"/>
      <c r="P160" s="35"/>
      <c r="Q160" s="2" t="s">
        <v>32</v>
      </c>
    </row>
    <row r="161" spans="1:17" ht="24" customHeight="1" x14ac:dyDescent="0.25">
      <c r="A161" s="3">
        <v>156</v>
      </c>
      <c r="B161" s="9" t="str">
        <f t="shared" si="4"/>
        <v>138-139</v>
      </c>
      <c r="C161" s="3" t="s">
        <v>70</v>
      </c>
      <c r="D161" s="3" t="s">
        <v>187</v>
      </c>
      <c r="E161" s="4" t="s">
        <v>456</v>
      </c>
      <c r="F161" s="47" t="s">
        <v>457</v>
      </c>
      <c r="G161" s="47"/>
      <c r="H161" s="47"/>
      <c r="I161" s="19" t="s">
        <v>70</v>
      </c>
      <c r="J161" s="19"/>
      <c r="K161" s="19"/>
      <c r="L161" s="19"/>
      <c r="M161" s="75"/>
      <c r="N161" s="52"/>
      <c r="O161" s="52"/>
      <c r="P161" s="76"/>
      <c r="Q161" s="2" t="s">
        <v>32</v>
      </c>
    </row>
    <row r="162" spans="1:17" ht="24" customHeight="1" x14ac:dyDescent="0.25">
      <c r="A162" s="3">
        <v>157</v>
      </c>
      <c r="B162" s="9" t="str">
        <f t="shared" si="4"/>
        <v>140-141</v>
      </c>
      <c r="C162" s="3" t="s">
        <v>70</v>
      </c>
      <c r="D162" s="3" t="s">
        <v>187</v>
      </c>
      <c r="E162" s="4" t="s">
        <v>458</v>
      </c>
      <c r="F162" s="47" t="s">
        <v>459</v>
      </c>
      <c r="G162" s="47"/>
      <c r="H162" s="47"/>
      <c r="I162" s="19" t="s">
        <v>70</v>
      </c>
      <c r="J162" s="19"/>
      <c r="K162" s="19"/>
      <c r="L162" s="19"/>
      <c r="M162" s="77"/>
      <c r="N162" s="78"/>
      <c r="O162" s="78"/>
      <c r="P162" s="79"/>
      <c r="Q162" s="2" t="s">
        <v>32</v>
      </c>
    </row>
    <row r="163" spans="1:17" ht="24" customHeight="1" x14ac:dyDescent="0.25">
      <c r="A163" s="3">
        <v>158</v>
      </c>
      <c r="B163" s="9" t="str">
        <f t="shared" si="4"/>
        <v>142-143</v>
      </c>
      <c r="C163" s="3" t="s">
        <v>70</v>
      </c>
      <c r="D163" s="3" t="s">
        <v>187</v>
      </c>
      <c r="E163" s="4" t="s">
        <v>460</v>
      </c>
      <c r="F163" s="47" t="s">
        <v>461</v>
      </c>
      <c r="G163" s="47"/>
      <c r="H163" s="47"/>
      <c r="I163" s="19" t="s">
        <v>70</v>
      </c>
      <c r="J163" s="19"/>
      <c r="K163" s="19"/>
      <c r="L163" s="19"/>
      <c r="M163" s="33" t="s">
        <v>462</v>
      </c>
      <c r="N163" s="34"/>
      <c r="O163" s="34"/>
      <c r="P163" s="35"/>
      <c r="Q163" s="2" t="s">
        <v>32</v>
      </c>
    </row>
    <row r="164" spans="1:17" ht="24" customHeight="1" x14ac:dyDescent="0.25">
      <c r="A164" s="3">
        <v>159</v>
      </c>
      <c r="B164" s="9" t="str">
        <f t="shared" si="4"/>
        <v>144-145</v>
      </c>
      <c r="C164" s="3" t="s">
        <v>70</v>
      </c>
      <c r="D164" s="3" t="s">
        <v>187</v>
      </c>
      <c r="E164" s="4" t="s">
        <v>463</v>
      </c>
      <c r="F164" s="47" t="s">
        <v>464</v>
      </c>
      <c r="G164" s="47"/>
      <c r="H164" s="47"/>
      <c r="I164" s="19" t="s">
        <v>70</v>
      </c>
      <c r="J164" s="19"/>
      <c r="K164" s="19"/>
      <c r="L164" s="19"/>
      <c r="M164" s="75"/>
      <c r="N164" s="52"/>
      <c r="O164" s="52"/>
      <c r="P164" s="76"/>
      <c r="Q164" s="2" t="s">
        <v>32</v>
      </c>
    </row>
    <row r="165" spans="1:17" ht="24" customHeight="1" x14ac:dyDescent="0.25">
      <c r="A165" s="3">
        <v>160</v>
      </c>
      <c r="B165" s="9" t="str">
        <f t="shared" si="4"/>
        <v>146-147</v>
      </c>
      <c r="C165" s="3" t="s">
        <v>70</v>
      </c>
      <c r="D165" s="3" t="s">
        <v>187</v>
      </c>
      <c r="E165" s="4" t="s">
        <v>465</v>
      </c>
      <c r="F165" s="47" t="s">
        <v>466</v>
      </c>
      <c r="G165" s="47"/>
      <c r="H165" s="47"/>
      <c r="I165" s="19" t="s">
        <v>70</v>
      </c>
      <c r="J165" s="19"/>
      <c r="K165" s="19"/>
      <c r="L165" s="19"/>
      <c r="M165" s="77"/>
      <c r="N165" s="78"/>
      <c r="O165" s="78"/>
      <c r="P165" s="79"/>
      <c r="Q165" s="2" t="s">
        <v>32</v>
      </c>
    </row>
    <row r="166" spans="1:17" ht="24" customHeight="1" x14ac:dyDescent="0.25">
      <c r="A166" s="3">
        <v>161</v>
      </c>
      <c r="B166" s="9" t="str">
        <f t="shared" si="4"/>
        <v>148-149</v>
      </c>
      <c r="C166" s="3" t="s">
        <v>70</v>
      </c>
      <c r="D166" s="3" t="s">
        <v>187</v>
      </c>
      <c r="E166" s="4" t="s">
        <v>467</v>
      </c>
      <c r="F166" s="47" t="s">
        <v>468</v>
      </c>
      <c r="G166" s="47"/>
      <c r="H166" s="47"/>
      <c r="I166" s="19" t="s">
        <v>70</v>
      </c>
      <c r="J166" s="19"/>
      <c r="K166" s="19"/>
      <c r="L166" s="19"/>
      <c r="M166" s="33" t="s">
        <v>441</v>
      </c>
      <c r="N166" s="34"/>
      <c r="O166" s="34"/>
      <c r="P166" s="35"/>
      <c r="Q166" s="2" t="s">
        <v>32</v>
      </c>
    </row>
    <row r="167" spans="1:17" ht="24" customHeight="1" x14ac:dyDescent="0.25">
      <c r="A167" s="3">
        <v>162</v>
      </c>
      <c r="B167" s="9" t="str">
        <f t="shared" si="4"/>
        <v>150-151</v>
      </c>
      <c r="C167" s="3" t="s">
        <v>70</v>
      </c>
      <c r="D167" s="3" t="s">
        <v>187</v>
      </c>
      <c r="E167" s="4" t="s">
        <v>469</v>
      </c>
      <c r="F167" s="47" t="s">
        <v>470</v>
      </c>
      <c r="G167" s="47"/>
      <c r="H167" s="47"/>
      <c r="I167" s="19" t="s">
        <v>70</v>
      </c>
      <c r="J167" s="19"/>
      <c r="K167" s="19"/>
      <c r="L167" s="19"/>
      <c r="M167" s="75"/>
      <c r="N167" s="52"/>
      <c r="O167" s="52"/>
      <c r="P167" s="76"/>
      <c r="Q167" s="2" t="s">
        <v>32</v>
      </c>
    </row>
    <row r="168" spans="1:17" ht="24" customHeight="1" x14ac:dyDescent="0.25">
      <c r="A168" s="3">
        <v>163</v>
      </c>
      <c r="B168" s="9" t="str">
        <f t="shared" si="4"/>
        <v>152-153</v>
      </c>
      <c r="C168" s="3" t="s">
        <v>70</v>
      </c>
      <c r="D168" s="3" t="s">
        <v>187</v>
      </c>
      <c r="E168" s="4" t="s">
        <v>471</v>
      </c>
      <c r="F168" s="47" t="s">
        <v>472</v>
      </c>
      <c r="G168" s="47"/>
      <c r="H168" s="47"/>
      <c r="I168" s="19" t="s">
        <v>70</v>
      </c>
      <c r="J168" s="19"/>
      <c r="K168" s="19"/>
      <c r="L168" s="19"/>
      <c r="M168" s="77"/>
      <c r="N168" s="78"/>
      <c r="O168" s="78"/>
      <c r="P168" s="79"/>
      <c r="Q168" s="2" t="s">
        <v>32</v>
      </c>
    </row>
    <row r="169" spans="1:17" ht="24" customHeight="1" x14ac:dyDescent="0.25">
      <c r="A169" s="3">
        <v>164</v>
      </c>
      <c r="B169" s="9" t="str">
        <f t="shared" si="4"/>
        <v>154-155</v>
      </c>
      <c r="C169" s="3" t="s">
        <v>70</v>
      </c>
      <c r="D169" s="3" t="s">
        <v>187</v>
      </c>
      <c r="E169" s="4" t="s">
        <v>473</v>
      </c>
      <c r="F169" s="47" t="s">
        <v>474</v>
      </c>
      <c r="G169" s="47"/>
      <c r="H169" s="47"/>
      <c r="I169" s="19" t="s">
        <v>70</v>
      </c>
      <c r="J169" s="19"/>
      <c r="K169" s="19"/>
      <c r="L169" s="19"/>
      <c r="M169" s="33" t="s">
        <v>448</v>
      </c>
      <c r="N169" s="34"/>
      <c r="O169" s="34"/>
      <c r="P169" s="35"/>
      <c r="Q169" s="2" t="s">
        <v>32</v>
      </c>
    </row>
    <row r="170" spans="1:17" ht="27.75" customHeight="1" x14ac:dyDescent="0.25">
      <c r="A170" s="3">
        <v>165</v>
      </c>
      <c r="B170" s="9" t="str">
        <f t="shared" si="4"/>
        <v>156-157</v>
      </c>
      <c r="C170" s="3" t="s">
        <v>70</v>
      </c>
      <c r="D170" s="3" t="s">
        <v>187</v>
      </c>
      <c r="E170" s="4" t="s">
        <v>475</v>
      </c>
      <c r="F170" s="47" t="s">
        <v>476</v>
      </c>
      <c r="G170" s="47"/>
      <c r="H170" s="47"/>
      <c r="I170" s="19" t="s">
        <v>70</v>
      </c>
      <c r="J170" s="19"/>
      <c r="K170" s="19"/>
      <c r="L170" s="19"/>
      <c r="M170" s="75"/>
      <c r="N170" s="52"/>
      <c r="O170" s="52"/>
      <c r="P170" s="76"/>
      <c r="Q170" s="2" t="s">
        <v>32</v>
      </c>
    </row>
    <row r="171" spans="1:17" ht="27.75" customHeight="1" x14ac:dyDescent="0.25">
      <c r="A171" s="3">
        <v>166</v>
      </c>
      <c r="B171" s="9" t="str">
        <f t="shared" si="4"/>
        <v>158-159</v>
      </c>
      <c r="C171" s="3" t="s">
        <v>70</v>
      </c>
      <c r="D171" s="3" t="s">
        <v>187</v>
      </c>
      <c r="E171" s="4" t="s">
        <v>477</v>
      </c>
      <c r="F171" s="19" t="s">
        <v>478</v>
      </c>
      <c r="G171" s="19"/>
      <c r="H171" s="19"/>
      <c r="I171" s="19" t="s">
        <v>70</v>
      </c>
      <c r="J171" s="19"/>
      <c r="K171" s="19"/>
      <c r="L171" s="19"/>
      <c r="M171" s="77"/>
      <c r="N171" s="78"/>
      <c r="O171" s="78"/>
      <c r="P171" s="79"/>
      <c r="Q171" s="2" t="s">
        <v>32</v>
      </c>
    </row>
    <row r="172" spans="1:17" ht="27.75" customHeight="1" x14ac:dyDescent="0.25">
      <c r="A172" s="3">
        <v>167</v>
      </c>
      <c r="B172" s="9" t="str">
        <f t="shared" si="4"/>
        <v>160-161</v>
      </c>
      <c r="C172" s="3" t="s">
        <v>70</v>
      </c>
      <c r="D172" s="3" t="s">
        <v>187</v>
      </c>
      <c r="E172" s="4" t="s">
        <v>479</v>
      </c>
      <c r="F172" s="19" t="s">
        <v>480</v>
      </c>
      <c r="G172" s="19"/>
      <c r="H172" s="19"/>
      <c r="I172" s="19" t="s">
        <v>70</v>
      </c>
      <c r="J172" s="19"/>
      <c r="K172" s="19"/>
      <c r="L172" s="19"/>
      <c r="M172" s="33" t="s">
        <v>455</v>
      </c>
      <c r="N172" s="34"/>
      <c r="O172" s="34"/>
      <c r="P172" s="35"/>
      <c r="Q172" s="2" t="s">
        <v>32</v>
      </c>
    </row>
    <row r="173" spans="1:17" ht="27.75" customHeight="1" x14ac:dyDescent="0.25">
      <c r="A173" s="3">
        <v>168</v>
      </c>
      <c r="B173" s="9" t="str">
        <f t="shared" si="4"/>
        <v>162-163</v>
      </c>
      <c r="C173" s="3" t="s">
        <v>70</v>
      </c>
      <c r="D173" s="3" t="s">
        <v>187</v>
      </c>
      <c r="E173" s="4" t="s">
        <v>481</v>
      </c>
      <c r="F173" s="19" t="s">
        <v>482</v>
      </c>
      <c r="G173" s="19"/>
      <c r="H173" s="19"/>
      <c r="I173" s="19" t="s">
        <v>70</v>
      </c>
      <c r="J173" s="19"/>
      <c r="K173" s="19"/>
      <c r="L173" s="19"/>
      <c r="M173" s="75"/>
      <c r="N173" s="52"/>
      <c r="O173" s="52"/>
      <c r="P173" s="76"/>
      <c r="Q173" s="2" t="s">
        <v>32</v>
      </c>
    </row>
    <row r="174" spans="1:17" ht="27.75" customHeight="1" x14ac:dyDescent="0.25">
      <c r="A174" s="3">
        <v>169</v>
      </c>
      <c r="B174" s="9" t="str">
        <f t="shared" si="4"/>
        <v>164-165</v>
      </c>
      <c r="C174" s="3" t="s">
        <v>70</v>
      </c>
      <c r="D174" s="3" t="s">
        <v>187</v>
      </c>
      <c r="E174" s="4" t="s">
        <v>483</v>
      </c>
      <c r="F174" s="47" t="s">
        <v>484</v>
      </c>
      <c r="G174" s="47"/>
      <c r="H174" s="47"/>
      <c r="I174" s="19" t="s">
        <v>70</v>
      </c>
      <c r="J174" s="19"/>
      <c r="K174" s="19"/>
      <c r="L174" s="19"/>
      <c r="M174" s="77"/>
      <c r="N174" s="78"/>
      <c r="O174" s="78"/>
      <c r="P174" s="79"/>
      <c r="Q174" s="2" t="s">
        <v>32</v>
      </c>
    </row>
    <row r="175" spans="1:17" ht="27.75" customHeight="1" x14ac:dyDescent="0.25">
      <c r="A175" s="3">
        <v>170</v>
      </c>
      <c r="B175" s="9" t="str">
        <f t="shared" si="4"/>
        <v>166-167</v>
      </c>
      <c r="C175" s="3" t="s">
        <v>70</v>
      </c>
      <c r="D175" s="3" t="s">
        <v>187</v>
      </c>
      <c r="E175" s="4" t="s">
        <v>485</v>
      </c>
      <c r="F175" s="47" t="s">
        <v>486</v>
      </c>
      <c r="G175" s="47"/>
      <c r="H175" s="47"/>
      <c r="I175" s="19" t="s">
        <v>70</v>
      </c>
      <c r="J175" s="19"/>
      <c r="K175" s="19"/>
      <c r="L175" s="19"/>
      <c r="M175" s="33" t="s">
        <v>462</v>
      </c>
      <c r="N175" s="34"/>
      <c r="O175" s="34"/>
      <c r="P175" s="35"/>
      <c r="Q175" s="2" t="s">
        <v>32</v>
      </c>
    </row>
    <row r="176" spans="1:17" ht="27.75" customHeight="1" x14ac:dyDescent="0.25">
      <c r="A176" s="3">
        <v>171</v>
      </c>
      <c r="B176" s="9" t="str">
        <f t="shared" si="4"/>
        <v>168-169</v>
      </c>
      <c r="C176" s="3" t="s">
        <v>70</v>
      </c>
      <c r="D176" s="3" t="s">
        <v>187</v>
      </c>
      <c r="E176" s="4" t="s">
        <v>487</v>
      </c>
      <c r="F176" s="47" t="s">
        <v>488</v>
      </c>
      <c r="G176" s="47"/>
      <c r="H176" s="47"/>
      <c r="I176" s="19" t="s">
        <v>70</v>
      </c>
      <c r="J176" s="19"/>
      <c r="K176" s="19"/>
      <c r="L176" s="19"/>
      <c r="M176" s="75"/>
      <c r="N176" s="52"/>
      <c r="O176" s="52"/>
      <c r="P176" s="76"/>
      <c r="Q176" s="2" t="s">
        <v>32</v>
      </c>
    </row>
    <row r="177" spans="1:17" ht="27.75" customHeight="1" x14ac:dyDescent="0.25">
      <c r="A177" s="3">
        <v>172</v>
      </c>
      <c r="B177" s="9" t="str">
        <f t="shared" si="4"/>
        <v>170-171</v>
      </c>
      <c r="C177" s="3" t="s">
        <v>70</v>
      </c>
      <c r="D177" s="3" t="s">
        <v>187</v>
      </c>
      <c r="E177" s="4" t="s">
        <v>489</v>
      </c>
      <c r="F177" s="47" t="s">
        <v>490</v>
      </c>
      <c r="G177" s="47"/>
      <c r="H177" s="47"/>
      <c r="I177" s="19" t="s">
        <v>70</v>
      </c>
      <c r="J177" s="19"/>
      <c r="K177" s="19"/>
      <c r="L177" s="19"/>
      <c r="M177" s="77"/>
      <c r="N177" s="78"/>
      <c r="O177" s="78"/>
      <c r="P177" s="79"/>
      <c r="Q177" s="2" t="s">
        <v>32</v>
      </c>
    </row>
    <row r="178" spans="1:17" ht="27.75" customHeight="1" x14ac:dyDescent="0.25">
      <c r="A178" s="3">
        <v>173</v>
      </c>
      <c r="B178" s="9" t="str">
        <f t="shared" si="4"/>
        <v>172-类型错误</v>
      </c>
      <c r="C178" s="3">
        <v>0</v>
      </c>
      <c r="D178" s="3" t="s">
        <v>27</v>
      </c>
      <c r="E178" s="4" t="s">
        <v>491</v>
      </c>
      <c r="F178" s="19" t="s">
        <v>89</v>
      </c>
      <c r="G178" s="19"/>
      <c r="H178" s="19"/>
      <c r="I178" s="19" t="s">
        <v>70</v>
      </c>
      <c r="J178" s="19"/>
      <c r="K178" s="19"/>
      <c r="L178" s="19"/>
      <c r="M178" s="19" t="s">
        <v>70</v>
      </c>
      <c r="N178" s="19"/>
      <c r="O178" s="19"/>
      <c r="P178" s="19"/>
      <c r="Q178" s="2" t="s">
        <v>32</v>
      </c>
    </row>
    <row r="179" spans="1:17" ht="27.75" customHeight="1" x14ac:dyDescent="0.25">
      <c r="A179" s="3">
        <v>174</v>
      </c>
      <c r="B179" s="5"/>
      <c r="C179" s="3">
        <v>1</v>
      </c>
      <c r="D179" s="3" t="s">
        <v>27</v>
      </c>
      <c r="E179" s="4" t="s">
        <v>492</v>
      </c>
      <c r="F179" s="19" t="s">
        <v>89</v>
      </c>
      <c r="G179" s="19"/>
      <c r="H179" s="19"/>
      <c r="I179" s="19" t="s">
        <v>70</v>
      </c>
      <c r="J179" s="19"/>
      <c r="K179" s="19"/>
      <c r="L179" s="19"/>
      <c r="M179" s="19" t="s">
        <v>70</v>
      </c>
      <c r="N179" s="19"/>
      <c r="O179" s="19"/>
      <c r="P179" s="19"/>
      <c r="Q179" s="2" t="s">
        <v>32</v>
      </c>
    </row>
    <row r="180" spans="1:17" ht="27.75" customHeight="1" x14ac:dyDescent="0.25">
      <c r="A180" s="3">
        <v>175</v>
      </c>
      <c r="B180" s="5"/>
      <c r="C180" s="3">
        <v>2</v>
      </c>
      <c r="D180" s="3" t="s">
        <v>27</v>
      </c>
      <c r="E180" s="4" t="s">
        <v>493</v>
      </c>
      <c r="F180" s="19" t="s">
        <v>89</v>
      </c>
      <c r="G180" s="19"/>
      <c r="H180" s="19"/>
      <c r="I180" s="19" t="s">
        <v>70</v>
      </c>
      <c r="J180" s="19"/>
      <c r="K180" s="19"/>
      <c r="L180" s="19"/>
      <c r="M180" s="19" t="s">
        <v>70</v>
      </c>
      <c r="N180" s="19"/>
      <c r="O180" s="19"/>
      <c r="P180" s="19"/>
      <c r="Q180" s="2" t="s">
        <v>32</v>
      </c>
    </row>
    <row r="181" spans="1:17" ht="27.75" customHeight="1" x14ac:dyDescent="0.25">
      <c r="A181" s="3">
        <v>176</v>
      </c>
      <c r="B181" s="5"/>
      <c r="C181" s="3">
        <v>3</v>
      </c>
      <c r="D181" s="3" t="s">
        <v>27</v>
      </c>
      <c r="E181" s="4" t="s">
        <v>494</v>
      </c>
      <c r="F181" s="19" t="s">
        <v>89</v>
      </c>
      <c r="G181" s="19"/>
      <c r="H181" s="19"/>
      <c r="I181" s="19" t="s">
        <v>70</v>
      </c>
      <c r="J181" s="19"/>
      <c r="K181" s="19"/>
      <c r="L181" s="19"/>
      <c r="M181" s="19" t="s">
        <v>70</v>
      </c>
      <c r="N181" s="19"/>
      <c r="O181" s="19"/>
      <c r="P181" s="19"/>
      <c r="Q181" s="2" t="s">
        <v>32</v>
      </c>
    </row>
    <row r="182" spans="1:17" ht="27.75" customHeight="1" x14ac:dyDescent="0.25">
      <c r="A182" s="3">
        <v>177</v>
      </c>
      <c r="B182" s="5"/>
      <c r="C182" s="3">
        <v>4</v>
      </c>
      <c r="D182" s="3" t="s">
        <v>27</v>
      </c>
      <c r="E182" s="4" t="s">
        <v>495</v>
      </c>
      <c r="F182" s="19" t="s">
        <v>89</v>
      </c>
      <c r="G182" s="19"/>
      <c r="H182" s="19"/>
      <c r="I182" s="19" t="s">
        <v>70</v>
      </c>
      <c r="J182" s="19"/>
      <c r="K182" s="19"/>
      <c r="L182" s="19"/>
      <c r="M182" s="19" t="s">
        <v>70</v>
      </c>
      <c r="N182" s="19"/>
      <c r="O182" s="19"/>
      <c r="P182" s="19"/>
      <c r="Q182" s="2" t="s">
        <v>32</v>
      </c>
    </row>
    <row r="183" spans="1:17" ht="27.75" customHeight="1" x14ac:dyDescent="0.25">
      <c r="A183" s="3">
        <v>178</v>
      </c>
      <c r="B183" s="5"/>
      <c r="C183" s="3">
        <v>5</v>
      </c>
      <c r="D183" s="3" t="s">
        <v>27</v>
      </c>
      <c r="E183" s="4" t="s">
        <v>496</v>
      </c>
      <c r="F183" s="19" t="s">
        <v>89</v>
      </c>
      <c r="G183" s="19"/>
      <c r="H183" s="19"/>
      <c r="I183" s="19" t="s">
        <v>70</v>
      </c>
      <c r="J183" s="19"/>
      <c r="K183" s="19"/>
      <c r="L183" s="19"/>
      <c r="M183" s="19" t="s">
        <v>70</v>
      </c>
      <c r="N183" s="19"/>
      <c r="O183" s="19"/>
      <c r="P183" s="19"/>
      <c r="Q183" s="2" t="s">
        <v>32</v>
      </c>
    </row>
    <row r="184" spans="1:17" ht="27.75" customHeight="1" x14ac:dyDescent="0.25">
      <c r="A184" s="3">
        <v>179</v>
      </c>
      <c r="B184" s="5"/>
      <c r="C184" s="3">
        <v>6</v>
      </c>
      <c r="D184" s="3" t="s">
        <v>27</v>
      </c>
      <c r="E184" s="4" t="s">
        <v>497</v>
      </c>
      <c r="F184" s="19" t="s">
        <v>89</v>
      </c>
      <c r="G184" s="19"/>
      <c r="H184" s="19"/>
      <c r="I184" s="19" t="s">
        <v>70</v>
      </c>
      <c r="J184" s="19"/>
      <c r="K184" s="19"/>
      <c r="L184" s="19"/>
      <c r="M184" s="19" t="s">
        <v>70</v>
      </c>
      <c r="N184" s="19"/>
      <c r="O184" s="19"/>
      <c r="P184" s="19"/>
      <c r="Q184" s="2" t="s">
        <v>32</v>
      </c>
    </row>
    <row r="185" spans="1:17" ht="27.75" customHeight="1" x14ac:dyDescent="0.25">
      <c r="A185" s="3">
        <v>180</v>
      </c>
      <c r="B185" s="5"/>
      <c r="C185" s="3">
        <v>7</v>
      </c>
      <c r="D185" s="3" t="s">
        <v>27</v>
      </c>
      <c r="E185" s="4" t="s">
        <v>498</v>
      </c>
      <c r="F185" s="19" t="s">
        <v>89</v>
      </c>
      <c r="G185" s="19"/>
      <c r="H185" s="19"/>
      <c r="I185" s="19" t="s">
        <v>70</v>
      </c>
      <c r="J185" s="19"/>
      <c r="K185" s="19"/>
      <c r="L185" s="19"/>
      <c r="M185" s="19" t="s">
        <v>70</v>
      </c>
      <c r="N185" s="19"/>
      <c r="O185" s="19"/>
      <c r="P185" s="19"/>
      <c r="Q185" s="2" t="s">
        <v>32</v>
      </c>
    </row>
    <row r="186" spans="1:17" ht="25" customHeight="1" x14ac:dyDescent="0.25">
      <c r="A186" s="3">
        <v>181</v>
      </c>
      <c r="B186" s="5"/>
      <c r="C186" s="3">
        <v>8</v>
      </c>
      <c r="D186" s="3" t="s">
        <v>27</v>
      </c>
      <c r="E186" s="4" t="s">
        <v>499</v>
      </c>
      <c r="F186" s="19" t="s">
        <v>89</v>
      </c>
      <c r="G186" s="19"/>
      <c r="H186" s="19"/>
      <c r="I186" s="19" t="s">
        <v>70</v>
      </c>
      <c r="J186" s="19"/>
      <c r="K186" s="19"/>
      <c r="L186" s="19"/>
      <c r="M186" s="19" t="s">
        <v>70</v>
      </c>
      <c r="N186" s="19"/>
      <c r="O186" s="19"/>
      <c r="P186" s="19"/>
      <c r="Q186" s="2" t="s">
        <v>32</v>
      </c>
    </row>
    <row r="187" spans="1:17" ht="24" customHeight="1" x14ac:dyDescent="0.25">
      <c r="A187" s="3">
        <v>182</v>
      </c>
      <c r="B187" s="5"/>
      <c r="C187" s="3">
        <v>9</v>
      </c>
      <c r="D187" s="3" t="s">
        <v>27</v>
      </c>
      <c r="E187" s="4" t="s">
        <v>500</v>
      </c>
      <c r="F187" s="19" t="s">
        <v>89</v>
      </c>
      <c r="G187" s="19"/>
      <c r="H187" s="19"/>
      <c r="I187" s="19" t="s">
        <v>70</v>
      </c>
      <c r="J187" s="19"/>
      <c r="K187" s="19"/>
      <c r="L187" s="19"/>
      <c r="M187" s="19" t="s">
        <v>70</v>
      </c>
      <c r="N187" s="19"/>
      <c r="O187" s="19"/>
      <c r="P187" s="19"/>
      <c r="Q187" s="2" t="s">
        <v>32</v>
      </c>
    </row>
    <row r="188" spans="1:17" ht="24" customHeight="1" x14ac:dyDescent="0.25">
      <c r="A188" s="3">
        <v>183</v>
      </c>
      <c r="B188" s="5"/>
      <c r="C188" s="3">
        <v>10</v>
      </c>
      <c r="D188" s="3" t="s">
        <v>27</v>
      </c>
      <c r="E188" s="4" t="s">
        <v>501</v>
      </c>
      <c r="F188" s="19" t="s">
        <v>89</v>
      </c>
      <c r="G188" s="19"/>
      <c r="H188" s="19"/>
      <c r="I188" s="19" t="s">
        <v>70</v>
      </c>
      <c r="J188" s="19"/>
      <c r="K188" s="19"/>
      <c r="L188" s="19"/>
      <c r="M188" s="19" t="s">
        <v>70</v>
      </c>
      <c r="N188" s="19"/>
      <c r="O188" s="19"/>
      <c r="P188" s="19"/>
      <c r="Q188" s="2" t="s">
        <v>32</v>
      </c>
    </row>
    <row r="189" spans="1:17" ht="24" customHeight="1" x14ac:dyDescent="0.25">
      <c r="A189" s="3">
        <v>184</v>
      </c>
      <c r="B189" s="5"/>
      <c r="C189" s="3">
        <v>11</v>
      </c>
      <c r="D189" s="3" t="s">
        <v>27</v>
      </c>
      <c r="E189" s="4" t="s">
        <v>502</v>
      </c>
      <c r="F189" s="19" t="s">
        <v>89</v>
      </c>
      <c r="G189" s="19"/>
      <c r="H189" s="19"/>
      <c r="I189" s="19" t="s">
        <v>70</v>
      </c>
      <c r="J189" s="19"/>
      <c r="K189" s="19"/>
      <c r="L189" s="19"/>
      <c r="M189" s="19" t="s">
        <v>70</v>
      </c>
      <c r="N189" s="19"/>
      <c r="O189" s="19"/>
      <c r="P189" s="19"/>
      <c r="Q189" s="2" t="s">
        <v>32</v>
      </c>
    </row>
    <row r="190" spans="1:17" ht="24" customHeight="1" x14ac:dyDescent="0.25">
      <c r="A190" s="3">
        <v>185</v>
      </c>
      <c r="B190" s="5"/>
      <c r="C190" s="3">
        <v>12</v>
      </c>
      <c r="D190" s="3" t="s">
        <v>27</v>
      </c>
      <c r="E190" s="4" t="s">
        <v>503</v>
      </c>
      <c r="F190" s="19" t="s">
        <v>89</v>
      </c>
      <c r="G190" s="19"/>
      <c r="H190" s="19"/>
      <c r="I190" s="19" t="s">
        <v>70</v>
      </c>
      <c r="J190" s="19"/>
      <c r="K190" s="19"/>
      <c r="L190" s="19"/>
      <c r="M190" s="19" t="s">
        <v>70</v>
      </c>
      <c r="N190" s="19"/>
      <c r="O190" s="19"/>
      <c r="P190" s="19"/>
      <c r="Q190" s="2" t="s">
        <v>32</v>
      </c>
    </row>
    <row r="191" spans="1:17" ht="24" customHeight="1" x14ac:dyDescent="0.25">
      <c r="A191" s="3">
        <v>186</v>
      </c>
      <c r="B191" s="5"/>
      <c r="C191" s="3">
        <v>13</v>
      </c>
      <c r="D191" s="3" t="s">
        <v>27</v>
      </c>
      <c r="E191" s="4" t="s">
        <v>504</v>
      </c>
      <c r="F191" s="19" t="s">
        <v>89</v>
      </c>
      <c r="G191" s="19"/>
      <c r="H191" s="19"/>
      <c r="I191" s="19" t="s">
        <v>70</v>
      </c>
      <c r="J191" s="19"/>
      <c r="K191" s="19"/>
      <c r="L191" s="19"/>
      <c r="M191" s="19" t="s">
        <v>70</v>
      </c>
      <c r="N191" s="19"/>
      <c r="O191" s="19"/>
      <c r="P191" s="19"/>
      <c r="Q191" s="2" t="s">
        <v>32</v>
      </c>
    </row>
    <row r="192" spans="1:17" ht="24" customHeight="1" x14ac:dyDescent="0.25">
      <c r="A192" s="3">
        <v>187</v>
      </c>
      <c r="B192" s="5"/>
      <c r="C192" s="3">
        <v>14</v>
      </c>
      <c r="D192" s="3" t="s">
        <v>27</v>
      </c>
      <c r="E192" s="4" t="s">
        <v>505</v>
      </c>
      <c r="F192" s="19" t="s">
        <v>89</v>
      </c>
      <c r="G192" s="19"/>
      <c r="H192" s="19"/>
      <c r="I192" s="19" t="s">
        <v>70</v>
      </c>
      <c r="J192" s="19"/>
      <c r="K192" s="19"/>
      <c r="L192" s="19"/>
      <c r="M192" s="19" t="s">
        <v>70</v>
      </c>
      <c r="N192" s="19"/>
      <c r="O192" s="19"/>
      <c r="P192" s="19"/>
      <c r="Q192" s="2" t="s">
        <v>32</v>
      </c>
    </row>
    <row r="193" spans="1:17" ht="22" customHeight="1" x14ac:dyDescent="0.25">
      <c r="A193" s="3">
        <v>188</v>
      </c>
      <c r="B193" s="7"/>
      <c r="C193" s="3">
        <v>15</v>
      </c>
      <c r="D193" s="3" t="s">
        <v>27</v>
      </c>
      <c r="E193" s="4" t="s">
        <v>506</v>
      </c>
      <c r="F193" s="19" t="s">
        <v>89</v>
      </c>
      <c r="G193" s="19"/>
      <c r="H193" s="19"/>
      <c r="I193" s="19" t="s">
        <v>70</v>
      </c>
      <c r="J193" s="19"/>
      <c r="K193" s="19"/>
      <c r="L193" s="19"/>
      <c r="M193" s="19" t="s">
        <v>70</v>
      </c>
      <c r="N193" s="19"/>
      <c r="O193" s="19"/>
      <c r="P193" s="19"/>
      <c r="Q193" s="2" t="s">
        <v>32</v>
      </c>
    </row>
  </sheetData>
  <mergeCells count="512">
    <mergeCell ref="M157:P159"/>
    <mergeCell ref="M160:P162"/>
    <mergeCell ref="M163:P165"/>
    <mergeCell ref="M166:P168"/>
    <mergeCell ref="M169:P171"/>
    <mergeCell ref="M172:P174"/>
    <mergeCell ref="M175:P177"/>
    <mergeCell ref="M50:P51"/>
    <mergeCell ref="I52:L53"/>
    <mergeCell ref="M52:P53"/>
    <mergeCell ref="I54:L55"/>
    <mergeCell ref="M54:P55"/>
    <mergeCell ref="I59:L60"/>
    <mergeCell ref="M59:P60"/>
    <mergeCell ref="M63:P67"/>
    <mergeCell ref="I40:L44"/>
    <mergeCell ref="F193:H193"/>
    <mergeCell ref="I193:L193"/>
    <mergeCell ref="M193:P193"/>
    <mergeCell ref="B6:B21"/>
    <mergeCell ref="B22:B37"/>
    <mergeCell ref="B125:B140"/>
    <mergeCell ref="R16:R20"/>
    <mergeCell ref="I10:L11"/>
    <mergeCell ref="I12:L13"/>
    <mergeCell ref="I14:L15"/>
    <mergeCell ref="I16:L20"/>
    <mergeCell ref="I21:L22"/>
    <mergeCell ref="I6:L7"/>
    <mergeCell ref="I8:L9"/>
    <mergeCell ref="M6:P23"/>
    <mergeCell ref="I32:L33"/>
    <mergeCell ref="M32:P33"/>
    <mergeCell ref="M34:P35"/>
    <mergeCell ref="M36:P37"/>
    <mergeCell ref="M30:P31"/>
    <mergeCell ref="M68:P72"/>
    <mergeCell ref="I56:L57"/>
    <mergeCell ref="M56:P57"/>
    <mergeCell ref="I45:L46"/>
    <mergeCell ref="F190:H190"/>
    <mergeCell ref="I190:L190"/>
    <mergeCell ref="M190:P190"/>
    <mergeCell ref="F191:H191"/>
    <mergeCell ref="I191:L191"/>
    <mergeCell ref="M191:P191"/>
    <mergeCell ref="F192:H192"/>
    <mergeCell ref="I192:L192"/>
    <mergeCell ref="M192:P192"/>
    <mergeCell ref="F187:H187"/>
    <mergeCell ref="I187:L187"/>
    <mergeCell ref="M187:P187"/>
    <mergeCell ref="F188:H188"/>
    <mergeCell ref="I188:L188"/>
    <mergeCell ref="M188:P188"/>
    <mergeCell ref="F189:H189"/>
    <mergeCell ref="I189:L189"/>
    <mergeCell ref="M189:P189"/>
    <mergeCell ref="F184:H184"/>
    <mergeCell ref="I184:L184"/>
    <mergeCell ref="M184:P184"/>
    <mergeCell ref="F185:H185"/>
    <mergeCell ref="I185:L185"/>
    <mergeCell ref="M185:P185"/>
    <mergeCell ref="F186:H186"/>
    <mergeCell ref="I186:L186"/>
    <mergeCell ref="M186:P186"/>
    <mergeCell ref="F181:H181"/>
    <mergeCell ref="I181:L181"/>
    <mergeCell ref="M181:P181"/>
    <mergeCell ref="F182:H182"/>
    <mergeCell ref="I182:L182"/>
    <mergeCell ref="M182:P182"/>
    <mergeCell ref="F183:H183"/>
    <mergeCell ref="I183:L183"/>
    <mergeCell ref="M183:P183"/>
    <mergeCell ref="F177:H177"/>
    <mergeCell ref="I177:L177"/>
    <mergeCell ref="F178:H178"/>
    <mergeCell ref="I178:L178"/>
    <mergeCell ref="M178:P178"/>
    <mergeCell ref="F179:H179"/>
    <mergeCell ref="I179:L179"/>
    <mergeCell ref="M179:P179"/>
    <mergeCell ref="F180:H180"/>
    <mergeCell ref="I180:L180"/>
    <mergeCell ref="M180:P180"/>
    <mergeCell ref="F172:H172"/>
    <mergeCell ref="I172:L172"/>
    <mergeCell ref="F173:H173"/>
    <mergeCell ref="I173:L173"/>
    <mergeCell ref="F174:H174"/>
    <mergeCell ref="I174:L174"/>
    <mergeCell ref="F175:H175"/>
    <mergeCell ref="I175:L175"/>
    <mergeCell ref="F176:H176"/>
    <mergeCell ref="I176:L176"/>
    <mergeCell ref="F167:H167"/>
    <mergeCell ref="I167:L167"/>
    <mergeCell ref="F168:H168"/>
    <mergeCell ref="I168:L168"/>
    <mergeCell ref="F169:H169"/>
    <mergeCell ref="I169:L169"/>
    <mergeCell ref="F170:H170"/>
    <mergeCell ref="I170:L170"/>
    <mergeCell ref="F171:H171"/>
    <mergeCell ref="I171:L171"/>
    <mergeCell ref="F162:H162"/>
    <mergeCell ref="I162:L162"/>
    <mergeCell ref="F163:H163"/>
    <mergeCell ref="I163:L163"/>
    <mergeCell ref="F164:H164"/>
    <mergeCell ref="I164:L164"/>
    <mergeCell ref="F165:H165"/>
    <mergeCell ref="I165:L165"/>
    <mergeCell ref="F166:H166"/>
    <mergeCell ref="I166:L166"/>
    <mergeCell ref="F157:H157"/>
    <mergeCell ref="I157:L157"/>
    <mergeCell ref="F158:H158"/>
    <mergeCell ref="I158:L158"/>
    <mergeCell ref="F159:H159"/>
    <mergeCell ref="I159:L159"/>
    <mergeCell ref="F160:H160"/>
    <mergeCell ref="I160:L160"/>
    <mergeCell ref="F161:H161"/>
    <mergeCell ref="I161:L161"/>
    <mergeCell ref="F153:H153"/>
    <mergeCell ref="I153:L153"/>
    <mergeCell ref="M153:P153"/>
    <mergeCell ref="F154:H154"/>
    <mergeCell ref="I154:L154"/>
    <mergeCell ref="F155:H155"/>
    <mergeCell ref="I155:L155"/>
    <mergeCell ref="F156:H156"/>
    <mergeCell ref="I156:L156"/>
    <mergeCell ref="M154:P156"/>
    <mergeCell ref="F150:H150"/>
    <mergeCell ref="I150:L150"/>
    <mergeCell ref="M150:P150"/>
    <mergeCell ref="F151:H151"/>
    <mergeCell ref="I151:L151"/>
    <mergeCell ref="M151:P151"/>
    <mergeCell ref="F152:H152"/>
    <mergeCell ref="I152:L152"/>
    <mergeCell ref="M152:P152"/>
    <mergeCell ref="F146:H146"/>
    <mergeCell ref="I146:L146"/>
    <mergeCell ref="F147:H147"/>
    <mergeCell ref="I147:L147"/>
    <mergeCell ref="F148:H148"/>
    <mergeCell ref="I148:L148"/>
    <mergeCell ref="F149:H149"/>
    <mergeCell ref="I149:L149"/>
    <mergeCell ref="M149:P149"/>
    <mergeCell ref="M147:P148"/>
    <mergeCell ref="M144:P146"/>
    <mergeCell ref="F142:H142"/>
    <mergeCell ref="I142:L142"/>
    <mergeCell ref="M142:P142"/>
    <mergeCell ref="F143:H143"/>
    <mergeCell ref="I143:L143"/>
    <mergeCell ref="M143:P143"/>
    <mergeCell ref="F144:H144"/>
    <mergeCell ref="I144:L144"/>
    <mergeCell ref="F145:H145"/>
    <mergeCell ref="I145:L145"/>
    <mergeCell ref="F139:H139"/>
    <mergeCell ref="I139:L139"/>
    <mergeCell ref="M139:P139"/>
    <mergeCell ref="F140:H140"/>
    <mergeCell ref="I140:L140"/>
    <mergeCell ref="M140:P140"/>
    <mergeCell ref="F141:H141"/>
    <mergeCell ref="I141:L141"/>
    <mergeCell ref="M141:P141"/>
    <mergeCell ref="F136:H136"/>
    <mergeCell ref="I136:L136"/>
    <mergeCell ref="M136:P136"/>
    <mergeCell ref="F137:H137"/>
    <mergeCell ref="I137:L137"/>
    <mergeCell ref="M137:P137"/>
    <mergeCell ref="F138:H138"/>
    <mergeCell ref="I138:L138"/>
    <mergeCell ref="M138:P138"/>
    <mergeCell ref="F133:H133"/>
    <mergeCell ref="I133:L133"/>
    <mergeCell ref="M133:P133"/>
    <mergeCell ref="F134:H134"/>
    <mergeCell ref="I134:L134"/>
    <mergeCell ref="M134:P134"/>
    <mergeCell ref="F135:H135"/>
    <mergeCell ref="I135:L135"/>
    <mergeCell ref="M135:P135"/>
    <mergeCell ref="F130:H130"/>
    <mergeCell ref="I130:L130"/>
    <mergeCell ref="M130:P130"/>
    <mergeCell ref="F131:H131"/>
    <mergeCell ref="I131:L131"/>
    <mergeCell ref="M131:P131"/>
    <mergeCell ref="F132:H132"/>
    <mergeCell ref="I132:L132"/>
    <mergeCell ref="M132:P132"/>
    <mergeCell ref="F127:H127"/>
    <mergeCell ref="I127:L127"/>
    <mergeCell ref="M127:P127"/>
    <mergeCell ref="F128:H128"/>
    <mergeCell ref="I128:L128"/>
    <mergeCell ref="M128:P128"/>
    <mergeCell ref="F129:H129"/>
    <mergeCell ref="I129:L129"/>
    <mergeCell ref="M129:P129"/>
    <mergeCell ref="F123:H123"/>
    <mergeCell ref="I123:L123"/>
    <mergeCell ref="M123:P123"/>
    <mergeCell ref="F124:H124"/>
    <mergeCell ref="I124:L124"/>
    <mergeCell ref="M124:P124"/>
    <mergeCell ref="F125:H125"/>
    <mergeCell ref="I125:L125"/>
    <mergeCell ref="F126:H126"/>
    <mergeCell ref="I126:L126"/>
    <mergeCell ref="M125:P126"/>
    <mergeCell ref="F120:H120"/>
    <mergeCell ref="I120:L120"/>
    <mergeCell ref="M120:P120"/>
    <mergeCell ref="F121:H121"/>
    <mergeCell ref="I121:L121"/>
    <mergeCell ref="M121:P121"/>
    <mergeCell ref="F122:H122"/>
    <mergeCell ref="I122:L122"/>
    <mergeCell ref="M122:P122"/>
    <mergeCell ref="F117:H117"/>
    <mergeCell ref="I117:L117"/>
    <mergeCell ref="M117:P117"/>
    <mergeCell ref="F118:H118"/>
    <mergeCell ref="I118:L118"/>
    <mergeCell ref="M118:P118"/>
    <mergeCell ref="F119:H119"/>
    <mergeCell ref="I119:L119"/>
    <mergeCell ref="M119:P119"/>
    <mergeCell ref="F114:H114"/>
    <mergeCell ref="I114:L114"/>
    <mergeCell ref="M114:P114"/>
    <mergeCell ref="F115:H115"/>
    <mergeCell ref="I115:L115"/>
    <mergeCell ref="M115:P115"/>
    <mergeCell ref="F116:H116"/>
    <mergeCell ref="I116:L116"/>
    <mergeCell ref="M116:P116"/>
    <mergeCell ref="F111:H111"/>
    <mergeCell ref="I111:L111"/>
    <mergeCell ref="M111:P111"/>
    <mergeCell ref="F112:H112"/>
    <mergeCell ref="I112:L112"/>
    <mergeCell ref="M112:P112"/>
    <mergeCell ref="F113:H113"/>
    <mergeCell ref="I113:L113"/>
    <mergeCell ref="M113:P113"/>
    <mergeCell ref="F108:H108"/>
    <mergeCell ref="I108:L108"/>
    <mergeCell ref="M108:P108"/>
    <mergeCell ref="F109:H109"/>
    <mergeCell ref="I109:L109"/>
    <mergeCell ref="M109:P109"/>
    <mergeCell ref="F110:H110"/>
    <mergeCell ref="I110:L110"/>
    <mergeCell ref="M110:P110"/>
    <mergeCell ref="F105:H105"/>
    <mergeCell ref="I105:L105"/>
    <mergeCell ref="M105:P105"/>
    <mergeCell ref="F106:H106"/>
    <mergeCell ref="I106:L106"/>
    <mergeCell ref="M106:P106"/>
    <mergeCell ref="F107:H107"/>
    <mergeCell ref="I107:L107"/>
    <mergeCell ref="M107:P107"/>
    <mergeCell ref="F102:H102"/>
    <mergeCell ref="I102:L102"/>
    <mergeCell ref="M102:P102"/>
    <mergeCell ref="F103:H103"/>
    <mergeCell ref="I103:L103"/>
    <mergeCell ref="M103:P103"/>
    <mergeCell ref="F104:H104"/>
    <mergeCell ref="I104:L104"/>
    <mergeCell ref="M104:P104"/>
    <mergeCell ref="F99:H99"/>
    <mergeCell ref="I99:L99"/>
    <mergeCell ref="M99:P99"/>
    <mergeCell ref="F100:H100"/>
    <mergeCell ref="I100:L100"/>
    <mergeCell ref="M100:P100"/>
    <mergeCell ref="F101:H101"/>
    <mergeCell ref="I101:L101"/>
    <mergeCell ref="M101:P101"/>
    <mergeCell ref="F96:H96"/>
    <mergeCell ref="I96:L96"/>
    <mergeCell ref="M96:P96"/>
    <mergeCell ref="F97:H97"/>
    <mergeCell ref="I97:L97"/>
    <mergeCell ref="M97:P97"/>
    <mergeCell ref="F98:H98"/>
    <mergeCell ref="I98:L98"/>
    <mergeCell ref="M98:P98"/>
    <mergeCell ref="F93:H93"/>
    <mergeCell ref="I93:L93"/>
    <mergeCell ref="M93:P93"/>
    <mergeCell ref="F94:H94"/>
    <mergeCell ref="I94:L94"/>
    <mergeCell ref="M94:P94"/>
    <mergeCell ref="F95:H95"/>
    <mergeCell ref="I95:L95"/>
    <mergeCell ref="M95:P95"/>
    <mergeCell ref="F90:H90"/>
    <mergeCell ref="I90:L90"/>
    <mergeCell ref="M90:P90"/>
    <mergeCell ref="F91:H91"/>
    <mergeCell ref="I91:L91"/>
    <mergeCell ref="M91:P91"/>
    <mergeCell ref="F92:H92"/>
    <mergeCell ref="I92:L92"/>
    <mergeCell ref="M92:P92"/>
    <mergeCell ref="F87:H87"/>
    <mergeCell ref="I87:L87"/>
    <mergeCell ref="M87:P87"/>
    <mergeCell ref="F88:H88"/>
    <mergeCell ref="I88:L88"/>
    <mergeCell ref="M88:P88"/>
    <mergeCell ref="F89:H89"/>
    <mergeCell ref="I89:L89"/>
    <mergeCell ref="M89:P89"/>
    <mergeCell ref="F84:H84"/>
    <mergeCell ref="I84:L84"/>
    <mergeCell ref="M84:P84"/>
    <mergeCell ref="F85:H85"/>
    <mergeCell ref="I85:L85"/>
    <mergeCell ref="M85:P85"/>
    <mergeCell ref="F86:H86"/>
    <mergeCell ref="I86:L86"/>
    <mergeCell ref="M86:P86"/>
    <mergeCell ref="F81:H81"/>
    <mergeCell ref="I81:L81"/>
    <mergeCell ref="M81:P81"/>
    <mergeCell ref="F82:H82"/>
    <mergeCell ref="I82:L82"/>
    <mergeCell ref="M82:P82"/>
    <mergeCell ref="F83:H83"/>
    <mergeCell ref="I83:L83"/>
    <mergeCell ref="M83:P83"/>
    <mergeCell ref="F78:H78"/>
    <mergeCell ref="I78:L78"/>
    <mergeCell ref="M78:P78"/>
    <mergeCell ref="F79:H79"/>
    <mergeCell ref="I79:L79"/>
    <mergeCell ref="M79:P79"/>
    <mergeCell ref="F80:H80"/>
    <mergeCell ref="I80:L80"/>
    <mergeCell ref="M80:P80"/>
    <mergeCell ref="F75:H75"/>
    <mergeCell ref="I75:L75"/>
    <mergeCell ref="M75:P75"/>
    <mergeCell ref="F76:H76"/>
    <mergeCell ref="I76:L76"/>
    <mergeCell ref="M76:P76"/>
    <mergeCell ref="F77:H77"/>
    <mergeCell ref="I77:L77"/>
    <mergeCell ref="M77:P77"/>
    <mergeCell ref="F71:H71"/>
    <mergeCell ref="I71:L71"/>
    <mergeCell ref="F72:H72"/>
    <mergeCell ref="I72:L72"/>
    <mergeCell ref="F73:H73"/>
    <mergeCell ref="I73:L73"/>
    <mergeCell ref="M73:P73"/>
    <mergeCell ref="F74:H74"/>
    <mergeCell ref="I74:L74"/>
    <mergeCell ref="M74:P74"/>
    <mergeCell ref="F66:H66"/>
    <mergeCell ref="I66:L66"/>
    <mergeCell ref="F67:H67"/>
    <mergeCell ref="I67:L67"/>
    <mergeCell ref="F68:H68"/>
    <mergeCell ref="I68:L68"/>
    <mergeCell ref="F69:H69"/>
    <mergeCell ref="I69:L69"/>
    <mergeCell ref="F70:H70"/>
    <mergeCell ref="I70:L70"/>
    <mergeCell ref="F62:H62"/>
    <mergeCell ref="I62:L62"/>
    <mergeCell ref="M62:P62"/>
    <mergeCell ref="F63:H63"/>
    <mergeCell ref="I63:L63"/>
    <mergeCell ref="F64:H64"/>
    <mergeCell ref="I64:L64"/>
    <mergeCell ref="F65:H65"/>
    <mergeCell ref="I65:L65"/>
    <mergeCell ref="F57:H57"/>
    <mergeCell ref="F58:H58"/>
    <mergeCell ref="I58:L58"/>
    <mergeCell ref="M58:P58"/>
    <mergeCell ref="F59:H59"/>
    <mergeCell ref="F60:H60"/>
    <mergeCell ref="F61:H61"/>
    <mergeCell ref="I61:L61"/>
    <mergeCell ref="M61:P61"/>
    <mergeCell ref="F49:H49"/>
    <mergeCell ref="I49:L49"/>
    <mergeCell ref="F50:H50"/>
    <mergeCell ref="F51:H51"/>
    <mergeCell ref="F52:H52"/>
    <mergeCell ref="F53:H53"/>
    <mergeCell ref="F54:H54"/>
    <mergeCell ref="F55:H55"/>
    <mergeCell ref="F56:H56"/>
    <mergeCell ref="I50:L51"/>
    <mergeCell ref="F43:H43"/>
    <mergeCell ref="F44:H44"/>
    <mergeCell ref="F45:H45"/>
    <mergeCell ref="F46:H46"/>
    <mergeCell ref="F47:H47"/>
    <mergeCell ref="I47:L47"/>
    <mergeCell ref="M47:P47"/>
    <mergeCell ref="F48:H48"/>
    <mergeCell ref="I48:L48"/>
    <mergeCell ref="M40:P46"/>
    <mergeCell ref="M48:P49"/>
    <mergeCell ref="F38:H38"/>
    <mergeCell ref="I38:L38"/>
    <mergeCell ref="M38:P38"/>
    <mergeCell ref="F39:H39"/>
    <mergeCell ref="I39:L39"/>
    <mergeCell ref="M39:P39"/>
    <mergeCell ref="F40:H40"/>
    <mergeCell ref="F41:H41"/>
    <mergeCell ref="F42:H42"/>
    <mergeCell ref="F32:H32"/>
    <mergeCell ref="F33:H33"/>
    <mergeCell ref="F34:H34"/>
    <mergeCell ref="I34:L34"/>
    <mergeCell ref="F35:H35"/>
    <mergeCell ref="I35:L35"/>
    <mergeCell ref="F36:H36"/>
    <mergeCell ref="I36:L36"/>
    <mergeCell ref="F37:H37"/>
    <mergeCell ref="I37:L37"/>
    <mergeCell ref="F28:H28"/>
    <mergeCell ref="I28:L28"/>
    <mergeCell ref="M28:P28"/>
    <mergeCell ref="F29:H29"/>
    <mergeCell ref="I29:L29"/>
    <mergeCell ref="M29:P29"/>
    <mergeCell ref="F30:H30"/>
    <mergeCell ref="I30:L30"/>
    <mergeCell ref="F31:H31"/>
    <mergeCell ref="I31:L31"/>
    <mergeCell ref="I23:L23"/>
    <mergeCell ref="F24:H24"/>
    <mergeCell ref="I24:L24"/>
    <mergeCell ref="M24:P24"/>
    <mergeCell ref="F25:H25"/>
    <mergeCell ref="I25:L25"/>
    <mergeCell ref="F26:H26"/>
    <mergeCell ref="I26:L26"/>
    <mergeCell ref="F27:H27"/>
    <mergeCell ref="I27:L27"/>
    <mergeCell ref="M27:P27"/>
    <mergeCell ref="M25:P26"/>
    <mergeCell ref="F15:H15"/>
    <mergeCell ref="F16:H16"/>
    <mergeCell ref="F17:H17"/>
    <mergeCell ref="F18:H18"/>
    <mergeCell ref="F19:H19"/>
    <mergeCell ref="F20:H20"/>
    <mergeCell ref="F21:H21"/>
    <mergeCell ref="F22:H22"/>
    <mergeCell ref="F23:H23"/>
    <mergeCell ref="F6:H6"/>
    <mergeCell ref="F7:H7"/>
    <mergeCell ref="F8:H8"/>
    <mergeCell ref="F9:H9"/>
    <mergeCell ref="F10:H10"/>
    <mergeCell ref="F11:H11"/>
    <mergeCell ref="F12:H12"/>
    <mergeCell ref="F13:H13"/>
    <mergeCell ref="F14:H14"/>
    <mergeCell ref="A4:B4"/>
    <mergeCell ref="C4:D4"/>
    <mergeCell ref="E4:F4"/>
    <mergeCell ref="G4:H4"/>
    <mergeCell ref="I4:J4"/>
    <mergeCell ref="K4:L4"/>
    <mergeCell ref="M4:N4"/>
    <mergeCell ref="O4:P4"/>
    <mergeCell ref="F5:H5"/>
    <mergeCell ref="I5:L5"/>
    <mergeCell ref="M5:P5"/>
    <mergeCell ref="A1:P1"/>
    <mergeCell ref="A2:B2"/>
    <mergeCell ref="C2:D2"/>
    <mergeCell ref="E2:G2"/>
    <mergeCell ref="H2:I2"/>
    <mergeCell ref="J2:L2"/>
    <mergeCell ref="M2:N2"/>
    <mergeCell ref="O2:P2"/>
    <mergeCell ref="A3:B3"/>
    <mergeCell ref="C3:D3"/>
    <mergeCell ref="E3:F3"/>
    <mergeCell ref="G3:H3"/>
    <mergeCell ref="I3:J3"/>
    <mergeCell ref="K3:L3"/>
    <mergeCell ref="M3:N3"/>
    <mergeCell ref="O3:P3"/>
  </mergeCells>
  <phoneticPr fontId="9" type="noConversion"/>
  <dataValidations count="1">
    <dataValidation type="list" allowBlank="1" showInputMessage="1" showErrorMessage="1" sqref="C2:D2" xr:uid="{00000000-0002-0000-0000-000000000000}">
      <formula1>"动作交互,数据采集"</formula1>
    </dataValidation>
  </dataValidations>
  <pageMargins left="0.70866141732283505" right="0.511811023622047" top="0.55118110236220497" bottom="0.55118110236220497" header="0.118110236220472" footer="0.118110236220472"/>
  <pageSetup paperSize="9" orientation="portrait"/>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1.数据采集-纽赛特to北京科技大学 </vt:lpstr>
      <vt:lpstr>'1.数据采集-纽赛特to北京科技大学 '!Print_Area</vt:lpstr>
      <vt:lpstr>'1.数据采集-纽赛特to北京科技大学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李东泽</cp:lastModifiedBy>
  <cp:lastPrinted>2025-07-26T09:26:00Z</cp:lastPrinted>
  <dcterms:created xsi:type="dcterms:W3CDTF">2023-05-12T11:15:00Z</dcterms:created>
  <dcterms:modified xsi:type="dcterms:W3CDTF">2026-01-31T15:14:30Z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6C21AB86318942B19C40D7438AA07745_13</vt:lpwstr>
  </property>
  <property fmtid="{D5CDD505-2E9C-101B-9397-08002B2CF9AE}" pid="4" name="CalculationRule">
    <vt:i4>0</vt:i4>
  </property>
</Properties>
</file>